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W:\Оит\ВЫПУСКИ\ВЫПУСК 2024\ПРОСТЫНИ\"/>
    </mc:Choice>
  </mc:AlternateContent>
  <bookViews>
    <workbookView xWindow="12705" yWindow="45" windowWidth="12510" windowHeight="11730" tabRatio="399"/>
  </bookViews>
  <sheets>
    <sheet name="Лист1" sheetId="1" r:id="rId1"/>
    <sheet name="Лист2" sheetId="2" r:id="rId2"/>
    <sheet name="Лист3" sheetId="3" r:id="rId3"/>
  </sheets>
  <definedNames>
    <definedName name="_xlnm._FilterDatabase" localSheetId="0" hidden="1">Лист1!$B$1:$B$22</definedName>
  </definedNames>
  <calcPr calcId="162913"/>
</workbook>
</file>

<file path=xl/calcChain.xml><?xml version="1.0" encoding="utf-8"?>
<calcChain xmlns="http://schemas.openxmlformats.org/spreadsheetml/2006/main">
  <c r="BQ3" i="1" l="1"/>
  <c r="BW3" i="1" s="1"/>
  <c r="BQ4" i="1"/>
  <c r="BW4" i="1" s="1"/>
  <c r="BQ5" i="1"/>
  <c r="BW5" i="1" s="1"/>
  <c r="BQ6" i="1"/>
  <c r="BW6" i="1" s="1"/>
  <c r="BQ7" i="1"/>
  <c r="BW7" i="1" s="1"/>
  <c r="BQ8" i="1"/>
  <c r="BW8" i="1" s="1"/>
  <c r="BQ9" i="1"/>
  <c r="BW9" i="1" s="1"/>
  <c r="BQ10" i="1"/>
  <c r="BW10" i="1" s="1"/>
  <c r="BQ11" i="1"/>
  <c r="BW11" i="1" s="1"/>
  <c r="BQ12" i="1"/>
  <c r="BW12" i="1" s="1"/>
  <c r="BQ13" i="1"/>
  <c r="BW13" i="1" s="1"/>
  <c r="BQ14" i="1"/>
  <c r="BW14" i="1" s="1"/>
  <c r="BQ15" i="1"/>
  <c r="BW15" i="1" s="1"/>
  <c r="BQ16" i="1"/>
  <c r="BW16" i="1" s="1"/>
  <c r="BQ17" i="1"/>
  <c r="BW17" i="1" s="1"/>
  <c r="BQ18" i="1"/>
  <c r="BW18" i="1" s="1"/>
  <c r="BQ19" i="1"/>
  <c r="BW19" i="1" s="1"/>
  <c r="BQ20" i="1"/>
  <c r="BW20" i="1" s="1"/>
  <c r="BP3" i="1"/>
  <c r="BV3" i="1" s="1"/>
  <c r="BP4" i="1"/>
  <c r="BV4" i="1" s="1"/>
  <c r="BP5" i="1"/>
  <c r="BV5" i="1" s="1"/>
  <c r="BP6" i="1"/>
  <c r="BV6" i="1" s="1"/>
  <c r="BP7" i="1"/>
  <c r="BV7" i="1" s="1"/>
  <c r="BP8" i="1"/>
  <c r="BV8" i="1" s="1"/>
  <c r="BP9" i="1"/>
  <c r="BV9" i="1" s="1"/>
  <c r="BP10" i="1"/>
  <c r="BV10" i="1" s="1"/>
  <c r="BP11" i="1"/>
  <c r="BV11" i="1" s="1"/>
  <c r="BP12" i="1"/>
  <c r="BV12" i="1" s="1"/>
  <c r="BP13" i="1"/>
  <c r="BV13" i="1" s="1"/>
  <c r="BP14" i="1"/>
  <c r="BV14" i="1" s="1"/>
  <c r="BP15" i="1"/>
  <c r="BV15" i="1" s="1"/>
  <c r="BP16" i="1"/>
  <c r="BV16" i="1" s="1"/>
  <c r="BP17" i="1"/>
  <c r="BV17" i="1" s="1"/>
  <c r="BP18" i="1"/>
  <c r="BV18" i="1" s="1"/>
  <c r="BP19" i="1"/>
  <c r="BV19" i="1" s="1"/>
  <c r="BP20" i="1"/>
  <c r="BV20" i="1" s="1"/>
  <c r="BO3" i="1"/>
  <c r="BU3" i="1" s="1"/>
  <c r="BO4" i="1"/>
  <c r="BU4" i="1" s="1"/>
  <c r="BO5" i="1"/>
  <c r="BU5" i="1" s="1"/>
  <c r="BO6" i="1"/>
  <c r="BU6" i="1" s="1"/>
  <c r="BO7" i="1"/>
  <c r="BU7" i="1" s="1"/>
  <c r="BO8" i="1"/>
  <c r="BU8" i="1" s="1"/>
  <c r="BO9" i="1"/>
  <c r="BU9" i="1" s="1"/>
  <c r="BO10" i="1"/>
  <c r="BU10" i="1" s="1"/>
  <c r="BO11" i="1"/>
  <c r="BU11" i="1" s="1"/>
  <c r="BO12" i="1"/>
  <c r="BU12" i="1" s="1"/>
  <c r="BO13" i="1"/>
  <c r="BU13" i="1" s="1"/>
  <c r="BO14" i="1"/>
  <c r="BU14" i="1" s="1"/>
  <c r="BO15" i="1"/>
  <c r="BU15" i="1" s="1"/>
  <c r="BO16" i="1"/>
  <c r="BU16" i="1" s="1"/>
  <c r="BO17" i="1"/>
  <c r="BU17" i="1" s="1"/>
  <c r="BO18" i="1"/>
  <c r="BU18" i="1" s="1"/>
  <c r="BO19" i="1"/>
  <c r="BU19" i="1" s="1"/>
  <c r="BO20" i="1"/>
  <c r="BU20" i="1" s="1"/>
  <c r="BO2" i="1"/>
  <c r="BU2" i="1" s="1"/>
  <c r="BP2" i="1"/>
  <c r="BV2" i="1" s="1"/>
  <c r="BQ2" i="1"/>
  <c r="BW2" i="1" s="1"/>
  <c r="BS3" i="1" l="1"/>
  <c r="BS4" i="1"/>
  <c r="BS5" i="1"/>
  <c r="BS6" i="1"/>
  <c r="BS7" i="1"/>
  <c r="BS8" i="1"/>
  <c r="BS9" i="1"/>
  <c r="BS10" i="1"/>
  <c r="BS11" i="1"/>
  <c r="BS12" i="1"/>
  <c r="BS13" i="1"/>
  <c r="BS14" i="1"/>
  <c r="BS15" i="1"/>
  <c r="BS16" i="1"/>
  <c r="BS17" i="1"/>
  <c r="BS18" i="1"/>
  <c r="BS19" i="1"/>
  <c r="BS20" i="1"/>
  <c r="BS21" i="1"/>
  <c r="BS2" i="1"/>
  <c r="BO21" i="1"/>
  <c r="BP21" i="1" l="1"/>
  <c r="BU21" i="1"/>
  <c r="BX5" i="1"/>
  <c r="BX3" i="1"/>
  <c r="BX4" i="1"/>
  <c r="A7" i="1"/>
  <c r="BQ21" i="1" l="1"/>
  <c r="BW21" i="1" s="1"/>
  <c r="BV21" i="1"/>
  <c r="BX7" i="1"/>
  <c r="BX6" i="1"/>
  <c r="A8" i="1"/>
  <c r="A9" i="1"/>
  <c r="A10" i="1"/>
  <c r="A11" i="1"/>
  <c r="A12" i="1"/>
  <c r="A13" i="1"/>
  <c r="A14" i="1"/>
  <c r="A15" i="1"/>
  <c r="A16" i="1"/>
  <c r="BX13" i="1" l="1"/>
  <c r="BX12" i="1"/>
  <c r="BX11" i="1"/>
  <c r="BX9" i="1"/>
  <c r="BX14" i="1"/>
  <c r="BX8" i="1"/>
  <c r="BX16" i="1"/>
  <c r="BX15" i="1"/>
  <c r="BX10" i="1"/>
  <c r="BX17" i="1" l="1"/>
  <c r="A18" i="1"/>
  <c r="BX18" i="1" l="1"/>
  <c r="A19" i="1"/>
  <c r="BX19" i="1" l="1"/>
  <c r="A20" i="1"/>
  <c r="BX20" i="1" l="1"/>
  <c r="BX21" i="1" l="1"/>
  <c r="BX2" i="1" l="1"/>
</calcChain>
</file>

<file path=xl/sharedStrings.xml><?xml version="1.0" encoding="utf-8"?>
<sst xmlns="http://schemas.openxmlformats.org/spreadsheetml/2006/main" count="85" uniqueCount="83">
  <si>
    <t>№</t>
  </si>
  <si>
    <t>ФИО</t>
  </si>
  <si>
    <t>Русский язык</t>
  </si>
  <si>
    <t>Литература</t>
  </si>
  <si>
    <t>Иностранный язык</t>
  </si>
  <si>
    <t>История</t>
  </si>
  <si>
    <t>Обществознание</t>
  </si>
  <si>
    <t>Экология</t>
  </si>
  <si>
    <t>Химия</t>
  </si>
  <si>
    <t>Биология</t>
  </si>
  <si>
    <t>Физическая культура</t>
  </si>
  <si>
    <t>Математика</t>
  </si>
  <si>
    <t>Информатика</t>
  </si>
  <si>
    <t>Физика</t>
  </si>
  <si>
    <t>Основы философии</t>
  </si>
  <si>
    <t>Психология общения</t>
  </si>
  <si>
    <t>Безопасность жизнедеятельности</t>
  </si>
  <si>
    <t>МОДУЛИ:</t>
  </si>
  <si>
    <t>ПРЕДДИПЛОМНАЯ  ПРАКТИКА</t>
  </si>
  <si>
    <t>ДИПЛОМ</t>
  </si>
  <si>
    <t>ЗАДОЛЖЕННОСТИ ПО ИТОГОВЫМ ДИСЦИПЛИНАМ</t>
  </si>
  <si>
    <t>ДЕМОЭКЗАМЕН</t>
  </si>
  <si>
    <t>Основы безопасности жизнедеятельности</t>
  </si>
  <si>
    <t>Астрономия</t>
  </si>
  <si>
    <t>Элементы высшей математики</t>
  </si>
  <si>
    <t>Операционные системы и среды</t>
  </si>
  <si>
    <t>Архитектура аппаратных средств</t>
  </si>
  <si>
    <t>Информационные технологии</t>
  </si>
  <si>
    <t>Основы алгоритмизации и программирования</t>
  </si>
  <si>
    <t>Экономика отрасли</t>
  </si>
  <si>
    <t>Основы проектирования баз данных</t>
  </si>
  <si>
    <t>Численные методы</t>
  </si>
  <si>
    <t>Компьютерные сети</t>
  </si>
  <si>
    <t>МДК.01.01 Разработка программных модулей</t>
  </si>
  <si>
    <t>МДК.01.03 Разработка мобильных приложений</t>
  </si>
  <si>
    <t>МДК.01.04 Системное программирование</t>
  </si>
  <si>
    <t>УП.01.01</t>
  </si>
  <si>
    <t>УП.02.01</t>
  </si>
  <si>
    <t>ПП.02.01</t>
  </si>
  <si>
    <t>МДК.04.01 Внедрение и поддержка КС</t>
  </si>
  <si>
    <t>УП.04.01</t>
  </si>
  <si>
    <t>Иностранный язык в профессиональной деятельности</t>
  </si>
  <si>
    <t>Дискретная математика с элементами математической логики</t>
  </si>
  <si>
    <t>Теория вероятностей и математическая статистика</t>
  </si>
  <si>
    <t>Правовое обеспечение профессиональной деятельности</t>
  </si>
  <si>
    <t>Стандартизация, сертификация и техническое документоведение</t>
  </si>
  <si>
    <t>Менеджмент в профессиональной деятельности</t>
  </si>
  <si>
    <t>Программирование в 1С: Предприятие 8</t>
  </si>
  <si>
    <t>МДК.01.02 Поддержка и тестирование программных модулей</t>
  </si>
  <si>
    <t>ПП.01.01</t>
  </si>
  <si>
    <t>МДК.02.01 Технология разработки программного обеспечения</t>
  </si>
  <si>
    <t>МДК.02.02 Инструментальные средства разработки программного обеспечения</t>
  </si>
  <si>
    <t>МДК.02.03Математическое моделирование</t>
  </si>
  <si>
    <t>МДК.04.02 Обеспечение качества функционирования КС</t>
  </si>
  <si>
    <t>МДК.11.01 Технология разработки и защиты баз данных</t>
  </si>
  <si>
    <t>ПП.11.01</t>
  </si>
  <si>
    <t>Барабанова Дарья Сергеевна</t>
  </si>
  <si>
    <t>Блинов Сергей Андреевич</t>
  </si>
  <si>
    <t>Богданова Мария Альбертовна</t>
  </si>
  <si>
    <t>Варфоломеева Майя Дмитриевна</t>
  </si>
  <si>
    <t>Волков Артемий Вячеславович</t>
  </si>
  <si>
    <t>Григорьева Алиса Олеговна</t>
  </si>
  <si>
    <t>Груздев Александр Владимирович</t>
  </si>
  <si>
    <t>Гугучкин Никита Сергеевич</t>
  </si>
  <si>
    <t>Кабацкий Никита Игоревич</t>
  </si>
  <si>
    <t>Кленов Андрей Дмитриевич</t>
  </si>
  <si>
    <t>Климов Константин Сергеевич</t>
  </si>
  <si>
    <t>Ляшук Дарья Валерьевна</t>
  </si>
  <si>
    <t>Мазницин Матвей Андреевич</t>
  </si>
  <si>
    <t>Малыгин Алексей Сергеевич</t>
  </si>
  <si>
    <t>Озолин Матвей Александрович</t>
  </si>
  <si>
    <t>Самчик Алексей Олегович</t>
  </si>
  <si>
    <t>Хожибоев Дилшоджон Фарходжонович</t>
  </si>
  <si>
    <t>Хороших Федор Алексеевич</t>
  </si>
  <si>
    <t>Череповский Кирилл Григорьевич</t>
  </si>
  <si>
    <t>Поступинский Александр Денисович</t>
  </si>
  <si>
    <r>
      <rPr>
        <b/>
        <sz val="11"/>
        <color theme="1"/>
        <rFont val="Times New Roman"/>
        <family val="1"/>
        <charset val="204"/>
      </rPr>
      <t>ПМ.01</t>
    </r>
    <r>
      <rPr>
        <sz val="11"/>
        <color theme="1"/>
        <rFont val="Times New Roman"/>
        <family val="1"/>
        <charset val="204"/>
      </rPr>
      <t xml:space="preserve"> Разработка модулей программного обеспечения для компьютерных систем</t>
    </r>
  </si>
  <si>
    <r>
      <rPr>
        <b/>
        <sz val="11"/>
        <color theme="1"/>
        <rFont val="Times New Roman"/>
        <family val="1"/>
        <charset val="204"/>
      </rPr>
      <t>ПМ.02</t>
    </r>
    <r>
      <rPr>
        <sz val="11"/>
        <color theme="1"/>
        <rFont val="Times New Roman"/>
        <family val="1"/>
        <charset val="204"/>
      </rPr>
      <t xml:space="preserve"> Осуществление интеграции программных модулей</t>
    </r>
  </si>
  <si>
    <r>
      <rPr>
        <b/>
        <sz val="11"/>
        <color theme="1"/>
        <rFont val="Times New Roman"/>
        <family val="1"/>
        <charset val="204"/>
      </rPr>
      <t>ПМ.04</t>
    </r>
    <r>
      <rPr>
        <sz val="11"/>
        <color theme="1"/>
        <rFont val="Times New Roman"/>
        <family val="1"/>
        <charset val="204"/>
      </rPr>
      <t xml:space="preserve"> Сопровождение и обслуживание программного обеспечения компьютерных систем</t>
    </r>
  </si>
  <si>
    <r>
      <t xml:space="preserve">ПМ.11 </t>
    </r>
    <r>
      <rPr>
        <sz val="11"/>
        <color theme="1"/>
        <rFont val="Times New Roman"/>
        <family val="1"/>
        <charset val="204"/>
      </rPr>
      <t>Разработка, администрирование и защита баз данных</t>
    </r>
  </si>
  <si>
    <r>
      <rPr>
        <b/>
        <sz val="11"/>
        <color theme="1"/>
        <rFont val="Times New Roman"/>
        <family val="1"/>
        <charset val="204"/>
      </rPr>
      <t>Кр1</t>
    </r>
    <r>
      <rPr>
        <sz val="11"/>
        <color theme="1"/>
        <rFont val="Times New Roman"/>
        <family val="1"/>
        <charset val="204"/>
      </rPr>
      <t xml:space="preserve"> Разработка модулей программного обеспечения для компьютерных систем</t>
    </r>
  </si>
  <si>
    <r>
      <rPr>
        <b/>
        <sz val="11"/>
        <color theme="1"/>
        <rFont val="Times New Roman"/>
        <family val="1"/>
        <charset val="204"/>
      </rPr>
      <t>Кр2</t>
    </r>
    <r>
      <rPr>
        <sz val="11"/>
        <color theme="1"/>
        <rFont val="Times New Roman"/>
        <family val="1"/>
        <charset val="204"/>
      </rPr>
      <t xml:space="preserve"> Осуществление интеграции программных модулей</t>
    </r>
  </si>
  <si>
    <r>
      <rPr>
        <b/>
        <sz val="11"/>
        <color theme="1"/>
        <rFont val="Times New Roman"/>
        <family val="1"/>
        <charset val="204"/>
      </rPr>
      <t>Кр3</t>
    </r>
    <r>
      <rPr>
        <sz val="11"/>
        <color theme="1"/>
        <rFont val="Times New Roman"/>
        <family val="1"/>
        <charset val="204"/>
      </rPr>
      <t xml:space="preserve"> Разработка, администрирование и защита баз данных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</si>
</sst>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6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3" fillId="0" borderId="0"/>
  </cellStyleXfs>
  <cellXfs count="24">
    <xf numFmtId="0" fontId="0" fillId="0" borderId="0" xfId="0"/>
    <xf numFmtId="0" fontId="1" fillId="0" borderId="4" xfId="0" applyFont="1" applyBorder="1" applyAlignment="1">
      <alignment vertical="center" wrapText="1"/>
    </xf>
    <xf numFmtId="0" fontId="1" fillId="0" borderId="2" xfId="0" applyFont="1" applyBorder="1" applyAlignment="1">
      <alignment horizontal="center" textRotation="90" wrapText="1"/>
    </xf>
    <xf numFmtId="0" fontId="1" fillId="0" borderId="4" xfId="0" applyFont="1" applyFill="1" applyBorder="1" applyAlignment="1">
      <alignment vertical="center" wrapText="1"/>
    </xf>
    <xf numFmtId="0" fontId="1" fillId="0" borderId="1" xfId="0" applyFont="1" applyFill="1" applyBorder="1" applyAlignment="1">
      <alignment horizontal="center" textRotation="90" readingOrder="1"/>
    </xf>
    <xf numFmtId="0" fontId="1" fillId="2" borderId="4" xfId="0" applyFont="1" applyFill="1" applyBorder="1" applyAlignment="1">
      <alignment vertical="center" wrapText="1"/>
    </xf>
    <xf numFmtId="0" fontId="1" fillId="0" borderId="1" xfId="0" applyFont="1" applyFill="1" applyBorder="1" applyAlignment="1">
      <alignment horizontal="center" textRotation="90" wrapText="1" readingOrder="1"/>
    </xf>
    <xf numFmtId="0" fontId="0" fillId="0" borderId="0" xfId="0" applyFont="1"/>
    <xf numFmtId="0" fontId="0" fillId="0" borderId="0" xfId="0" applyFill="1"/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textRotation="90" wrapText="1"/>
    </xf>
    <xf numFmtId="0" fontId="5" fillId="0" borderId="2" xfId="0" applyFont="1" applyFill="1" applyBorder="1" applyAlignment="1">
      <alignment horizontal="center" textRotation="90" wrapText="1"/>
    </xf>
    <xf numFmtId="0" fontId="4" fillId="0" borderId="2" xfId="0" applyFont="1" applyBorder="1" applyAlignment="1">
      <alignment horizontal="center" textRotation="90" wrapText="1"/>
    </xf>
    <xf numFmtId="0" fontId="5" fillId="0" borderId="2" xfId="0" applyFont="1" applyBorder="1" applyAlignment="1">
      <alignment horizontal="center" wrapText="1"/>
    </xf>
    <xf numFmtId="0" fontId="4" fillId="0" borderId="3" xfId="0" applyFont="1" applyBorder="1" applyAlignment="1">
      <alignment horizontal="center" vertical="center" wrapText="1"/>
    </xf>
    <xf numFmtId="0" fontId="5" fillId="0" borderId="4" xfId="0" applyFont="1" applyFill="1" applyBorder="1" applyAlignment="1">
      <alignment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vertical="center" wrapText="1"/>
    </xf>
    <xf numFmtId="164" fontId="5" fillId="0" borderId="4" xfId="1" applyNumberFormat="1" applyFont="1" applyBorder="1" applyAlignment="1">
      <alignment vertical="center" wrapText="1"/>
    </xf>
    <xf numFmtId="0" fontId="4" fillId="0" borderId="3" xfId="0" applyFont="1" applyFill="1" applyBorder="1" applyAlignment="1">
      <alignment horizontal="center" vertical="center" wrapText="1"/>
    </xf>
    <xf numFmtId="164" fontId="5" fillId="0" borderId="4" xfId="1" applyNumberFormat="1" applyFont="1" applyFill="1" applyBorder="1" applyAlignment="1">
      <alignment vertical="center" wrapText="1"/>
    </xf>
    <xf numFmtId="0" fontId="5" fillId="0" borderId="1" xfId="0" applyFont="1" applyFill="1" applyBorder="1" applyAlignment="1">
      <alignment horizontal="center" vertical="center" wrapText="1"/>
    </xf>
  </cellXfs>
  <cellStyles count="3">
    <cellStyle name="Обычный" xfId="0" builtinId="0"/>
    <cellStyle name="Обычный 4" xfId="2"/>
    <cellStyle name="Процентный" xfId="1" builtinId="5"/>
  </cellStyles>
  <dxfs count="8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E22"/>
  <sheetViews>
    <sheetView tabSelected="1" zoomScaleNormal="100" workbookViewId="0">
      <pane xSplit="2" topLeftCell="BJ1" activePane="topRight" state="frozen"/>
      <selection pane="topRight" activeCell="BV18" sqref="BV18:BW18"/>
    </sheetView>
  </sheetViews>
  <sheetFormatPr defaultRowHeight="15" x14ac:dyDescent="0.25"/>
  <cols>
    <col min="2" max="2" width="42.28515625" customWidth="1"/>
    <col min="3" max="33" width="6.140625" customWidth="1"/>
    <col min="34" max="34" width="6.140625" style="8" customWidth="1"/>
    <col min="35" max="72" width="6.140625" customWidth="1"/>
    <col min="73" max="76" width="9.42578125" customWidth="1"/>
    <col min="77" max="83" width="6.140625" customWidth="1"/>
  </cols>
  <sheetData>
    <row r="1" spans="1:83" ht="134.25" customHeight="1" thickBot="1" x14ac:dyDescent="0.3">
      <c r="A1" s="9" t="s">
        <v>0</v>
      </c>
      <c r="B1" s="10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22</v>
      </c>
      <c r="L1" s="11" t="s">
        <v>10</v>
      </c>
      <c r="M1" s="11" t="s">
        <v>23</v>
      </c>
      <c r="N1" s="11" t="s">
        <v>11</v>
      </c>
      <c r="O1" s="11" t="s">
        <v>12</v>
      </c>
      <c r="P1" s="11" t="s">
        <v>13</v>
      </c>
      <c r="Q1" s="11"/>
      <c r="R1" s="11" t="s">
        <v>14</v>
      </c>
      <c r="S1" s="11" t="s">
        <v>5</v>
      </c>
      <c r="T1" s="11" t="s">
        <v>15</v>
      </c>
      <c r="U1" s="11" t="s">
        <v>41</v>
      </c>
      <c r="V1" s="11" t="s">
        <v>10</v>
      </c>
      <c r="W1" s="11" t="s">
        <v>24</v>
      </c>
      <c r="X1" s="11" t="s">
        <v>42</v>
      </c>
      <c r="Y1" s="11" t="s">
        <v>43</v>
      </c>
      <c r="Z1" s="11" t="s">
        <v>25</v>
      </c>
      <c r="AA1" s="11" t="s">
        <v>26</v>
      </c>
      <c r="AB1" s="11" t="s">
        <v>27</v>
      </c>
      <c r="AC1" s="11" t="s">
        <v>28</v>
      </c>
      <c r="AD1" s="11" t="s">
        <v>44</v>
      </c>
      <c r="AE1" s="11" t="s">
        <v>16</v>
      </c>
      <c r="AF1" s="11" t="s">
        <v>29</v>
      </c>
      <c r="AG1" s="11" t="s">
        <v>30</v>
      </c>
      <c r="AH1" s="12" t="s">
        <v>45</v>
      </c>
      <c r="AI1" s="11" t="s">
        <v>31</v>
      </c>
      <c r="AJ1" s="11" t="s">
        <v>32</v>
      </c>
      <c r="AK1" s="11" t="s">
        <v>46</v>
      </c>
      <c r="AL1" s="11" t="s">
        <v>47</v>
      </c>
      <c r="AM1" s="11"/>
      <c r="AN1" s="13" t="s">
        <v>17</v>
      </c>
      <c r="AO1" s="11" t="s">
        <v>76</v>
      </c>
      <c r="AP1" s="11" t="s">
        <v>33</v>
      </c>
      <c r="AQ1" s="11" t="s">
        <v>48</v>
      </c>
      <c r="AR1" s="11" t="s">
        <v>34</v>
      </c>
      <c r="AS1" s="11" t="s">
        <v>35</v>
      </c>
      <c r="AT1" s="11" t="s">
        <v>77</v>
      </c>
      <c r="AU1" s="11" t="s">
        <v>50</v>
      </c>
      <c r="AV1" s="11" t="s">
        <v>51</v>
      </c>
      <c r="AW1" s="11" t="s">
        <v>52</v>
      </c>
      <c r="AX1" s="11" t="s">
        <v>78</v>
      </c>
      <c r="AY1" s="11" t="s">
        <v>39</v>
      </c>
      <c r="AZ1" s="11" t="s">
        <v>53</v>
      </c>
      <c r="BA1" s="13" t="s">
        <v>79</v>
      </c>
      <c r="BB1" s="11" t="s">
        <v>54</v>
      </c>
      <c r="BC1" s="11" t="s">
        <v>36</v>
      </c>
      <c r="BD1" s="11" t="s">
        <v>37</v>
      </c>
      <c r="BE1" s="11" t="s">
        <v>40</v>
      </c>
      <c r="BF1" s="11" t="s">
        <v>49</v>
      </c>
      <c r="BG1" s="11" t="s">
        <v>38</v>
      </c>
      <c r="BH1" s="11" t="s">
        <v>55</v>
      </c>
      <c r="BI1" s="11" t="s">
        <v>80</v>
      </c>
      <c r="BJ1" s="11" t="s">
        <v>81</v>
      </c>
      <c r="BK1" s="11" t="s">
        <v>82</v>
      </c>
      <c r="BL1" s="11" t="s">
        <v>18</v>
      </c>
      <c r="BM1" s="11" t="s">
        <v>21</v>
      </c>
      <c r="BN1" s="11" t="s">
        <v>19</v>
      </c>
      <c r="BO1" s="14">
        <v>3</v>
      </c>
      <c r="BP1" s="14">
        <v>4</v>
      </c>
      <c r="BQ1" s="14">
        <v>5</v>
      </c>
      <c r="BR1" s="11"/>
      <c r="BS1" s="11" t="s">
        <v>20</v>
      </c>
      <c r="BT1" s="11"/>
      <c r="BU1" s="11">
        <v>3</v>
      </c>
      <c r="BV1" s="11">
        <v>4</v>
      </c>
      <c r="BW1" s="11">
        <v>5</v>
      </c>
      <c r="BX1" s="11"/>
      <c r="BY1" s="2"/>
      <c r="BZ1" s="2"/>
      <c r="CA1" s="2"/>
      <c r="CB1" s="2"/>
      <c r="CC1" s="2"/>
      <c r="CD1" s="2"/>
      <c r="CE1" s="2"/>
    </row>
    <row r="2" spans="1:83" ht="19.5" customHeight="1" thickBot="1" x14ac:dyDescent="0.3">
      <c r="A2" s="15">
        <v>1</v>
      </c>
      <c r="B2" s="16" t="s">
        <v>56</v>
      </c>
      <c r="C2" s="17">
        <v>4</v>
      </c>
      <c r="D2" s="17">
        <v>4</v>
      </c>
      <c r="E2" s="17">
        <v>5</v>
      </c>
      <c r="F2" s="17">
        <v>4</v>
      </c>
      <c r="G2" s="17">
        <v>5</v>
      </c>
      <c r="H2" s="17">
        <v>5</v>
      </c>
      <c r="I2" s="17">
        <v>5</v>
      </c>
      <c r="J2" s="17">
        <v>5</v>
      </c>
      <c r="K2" s="17">
        <v>4</v>
      </c>
      <c r="L2" s="17">
        <v>5</v>
      </c>
      <c r="M2" s="17">
        <v>5</v>
      </c>
      <c r="N2" s="17">
        <v>5</v>
      </c>
      <c r="O2" s="17">
        <v>4</v>
      </c>
      <c r="P2" s="17">
        <v>4</v>
      </c>
      <c r="Q2" s="17"/>
      <c r="R2" s="17">
        <v>5</v>
      </c>
      <c r="S2" s="17">
        <v>4</v>
      </c>
      <c r="T2" s="17">
        <v>5</v>
      </c>
      <c r="U2" s="17">
        <v>4</v>
      </c>
      <c r="V2" s="17">
        <v>3</v>
      </c>
      <c r="W2" s="17">
        <v>5</v>
      </c>
      <c r="X2" s="17">
        <v>5</v>
      </c>
      <c r="Y2" s="17">
        <v>5</v>
      </c>
      <c r="Z2" s="17">
        <v>5</v>
      </c>
      <c r="AA2" s="17">
        <v>5</v>
      </c>
      <c r="AB2" s="17">
        <v>4</v>
      </c>
      <c r="AC2" s="17">
        <v>4</v>
      </c>
      <c r="AD2" s="17">
        <v>5</v>
      </c>
      <c r="AE2" s="17">
        <v>5</v>
      </c>
      <c r="AF2" s="17">
        <v>5</v>
      </c>
      <c r="AG2" s="17">
        <v>5</v>
      </c>
      <c r="AH2" s="17">
        <v>4</v>
      </c>
      <c r="AI2" s="17">
        <v>5</v>
      </c>
      <c r="AJ2" s="17">
        <v>3</v>
      </c>
      <c r="AK2" s="17">
        <v>5</v>
      </c>
      <c r="AL2" s="17">
        <v>5</v>
      </c>
      <c r="AM2" s="17"/>
      <c r="AN2" s="17"/>
      <c r="AO2" s="17">
        <v>3</v>
      </c>
      <c r="AP2" s="17">
        <v>3</v>
      </c>
      <c r="AQ2" s="17">
        <v>3</v>
      </c>
      <c r="AR2" s="17">
        <v>3</v>
      </c>
      <c r="AS2" s="17">
        <v>3</v>
      </c>
      <c r="AT2" s="17">
        <v>4</v>
      </c>
      <c r="AU2" s="17">
        <v>4</v>
      </c>
      <c r="AV2" s="17">
        <v>3</v>
      </c>
      <c r="AW2" s="17">
        <v>3</v>
      </c>
      <c r="AX2" s="17">
        <v>4</v>
      </c>
      <c r="AY2" s="17">
        <v>4</v>
      </c>
      <c r="AZ2" s="17">
        <v>4</v>
      </c>
      <c r="BA2" s="17">
        <v>4</v>
      </c>
      <c r="BB2" s="17">
        <v>4</v>
      </c>
      <c r="BC2" s="17">
        <v>3</v>
      </c>
      <c r="BD2" s="17">
        <v>3</v>
      </c>
      <c r="BE2" s="17">
        <v>5</v>
      </c>
      <c r="BF2" s="17">
        <v>4</v>
      </c>
      <c r="BG2" s="17">
        <v>3</v>
      </c>
      <c r="BH2" s="17">
        <v>4</v>
      </c>
      <c r="BI2" s="17">
        <v>3</v>
      </c>
      <c r="BJ2" s="17">
        <v>3</v>
      </c>
      <c r="BK2" s="17">
        <v>5</v>
      </c>
      <c r="BL2" s="17">
        <v>3</v>
      </c>
      <c r="BM2" s="17"/>
      <c r="BN2" s="17"/>
      <c r="BO2" s="18">
        <f>COUNTIF(C2:BN2, "3")</f>
        <v>15</v>
      </c>
      <c r="BP2" s="18">
        <f>COUNTIF(C2:BN2, "4")</f>
        <v>20</v>
      </c>
      <c r="BQ2" s="18">
        <f>COUNTIF(C2:BN2, "5")</f>
        <v>24</v>
      </c>
      <c r="BR2" s="19"/>
      <c r="BS2" s="19">
        <f t="shared" ref="BS2:BS21" si="0">COUNTIF(C2:BN2, "н/а")</f>
        <v>0</v>
      </c>
      <c r="BT2" s="19"/>
      <c r="BU2" s="20">
        <f>BO2/59</f>
        <v>0.25423728813559321</v>
      </c>
      <c r="BV2" s="20">
        <f>BP2/59</f>
        <v>0.33898305084745761</v>
      </c>
      <c r="BW2" s="20">
        <f>BQ2/59</f>
        <v>0.40677966101694918</v>
      </c>
      <c r="BX2" s="20">
        <f>SUM(BU2:BW2)</f>
        <v>1</v>
      </c>
      <c r="BY2" s="1"/>
      <c r="BZ2" s="1"/>
      <c r="CA2" s="1"/>
      <c r="CB2" s="1"/>
      <c r="CC2" s="1"/>
      <c r="CD2" s="1"/>
      <c r="CE2" s="5"/>
    </row>
    <row r="3" spans="1:83" ht="19.5" customHeight="1" thickBot="1" x14ac:dyDescent="0.3">
      <c r="A3" s="15">
        <v>2</v>
      </c>
      <c r="B3" s="16" t="s">
        <v>57</v>
      </c>
      <c r="C3" s="17">
        <v>4</v>
      </c>
      <c r="D3" s="17">
        <v>5</v>
      </c>
      <c r="E3" s="17">
        <v>4</v>
      </c>
      <c r="F3" s="17">
        <v>5</v>
      </c>
      <c r="G3" s="17">
        <v>5</v>
      </c>
      <c r="H3" s="17">
        <v>5</v>
      </c>
      <c r="I3" s="17">
        <v>4</v>
      </c>
      <c r="J3" s="17">
        <v>4</v>
      </c>
      <c r="K3" s="17">
        <v>5</v>
      </c>
      <c r="L3" s="17">
        <v>5</v>
      </c>
      <c r="M3" s="17">
        <v>5</v>
      </c>
      <c r="N3" s="17">
        <v>5</v>
      </c>
      <c r="O3" s="17">
        <v>4</v>
      </c>
      <c r="P3" s="17">
        <v>4</v>
      </c>
      <c r="Q3" s="17"/>
      <c r="R3" s="17">
        <v>5</v>
      </c>
      <c r="S3" s="17">
        <v>5</v>
      </c>
      <c r="T3" s="17">
        <v>5</v>
      </c>
      <c r="U3" s="17">
        <v>5</v>
      </c>
      <c r="V3" s="17">
        <v>4</v>
      </c>
      <c r="W3" s="17">
        <v>5</v>
      </c>
      <c r="X3" s="17">
        <v>5</v>
      </c>
      <c r="Y3" s="17">
        <v>5</v>
      </c>
      <c r="Z3" s="17">
        <v>5</v>
      </c>
      <c r="AA3" s="17">
        <v>5</v>
      </c>
      <c r="AB3" s="17">
        <v>4</v>
      </c>
      <c r="AC3" s="17">
        <v>4</v>
      </c>
      <c r="AD3" s="17">
        <v>5</v>
      </c>
      <c r="AE3" s="17">
        <v>5</v>
      </c>
      <c r="AF3" s="17">
        <v>5</v>
      </c>
      <c r="AG3" s="17">
        <v>5</v>
      </c>
      <c r="AH3" s="17">
        <v>5</v>
      </c>
      <c r="AI3" s="17">
        <v>5</v>
      </c>
      <c r="AJ3" s="17">
        <v>4</v>
      </c>
      <c r="AK3" s="17">
        <v>5</v>
      </c>
      <c r="AL3" s="17">
        <v>5</v>
      </c>
      <c r="AM3" s="17"/>
      <c r="AN3" s="17"/>
      <c r="AO3" s="17">
        <v>5</v>
      </c>
      <c r="AP3" s="17">
        <v>4</v>
      </c>
      <c r="AQ3" s="17">
        <v>5</v>
      </c>
      <c r="AR3" s="17">
        <v>4</v>
      </c>
      <c r="AS3" s="17">
        <v>4</v>
      </c>
      <c r="AT3" s="17">
        <v>4</v>
      </c>
      <c r="AU3" s="17">
        <v>5</v>
      </c>
      <c r="AV3" s="17">
        <v>4</v>
      </c>
      <c r="AW3" s="17">
        <v>4</v>
      </c>
      <c r="AX3" s="17">
        <v>5</v>
      </c>
      <c r="AY3" s="17">
        <v>5</v>
      </c>
      <c r="AZ3" s="17">
        <v>5</v>
      </c>
      <c r="BA3" s="17">
        <v>5</v>
      </c>
      <c r="BB3" s="17">
        <v>5</v>
      </c>
      <c r="BC3" s="17">
        <v>4</v>
      </c>
      <c r="BD3" s="17">
        <v>5</v>
      </c>
      <c r="BE3" s="17">
        <v>5</v>
      </c>
      <c r="BF3" s="17">
        <v>5</v>
      </c>
      <c r="BG3" s="17">
        <v>5</v>
      </c>
      <c r="BH3" s="17">
        <v>5</v>
      </c>
      <c r="BI3" s="17">
        <v>5</v>
      </c>
      <c r="BJ3" s="17">
        <v>4</v>
      </c>
      <c r="BK3" s="17">
        <v>5</v>
      </c>
      <c r="BL3" s="17">
        <v>5</v>
      </c>
      <c r="BM3" s="17"/>
      <c r="BN3" s="17"/>
      <c r="BO3" s="18">
        <f t="shared" ref="BO3:BO20" si="1">COUNTIF(C3:BN3, "3")</f>
        <v>0</v>
      </c>
      <c r="BP3" s="18">
        <f t="shared" ref="BP3:BP20" si="2">COUNTIF(C3:BN3, "4")</f>
        <v>18</v>
      </c>
      <c r="BQ3" s="18">
        <f t="shared" ref="BQ3:BQ20" si="3">COUNTIF(C3:BN3, "5")</f>
        <v>41</v>
      </c>
      <c r="BR3" s="19"/>
      <c r="BS3" s="19">
        <f t="shared" si="0"/>
        <v>0</v>
      </c>
      <c r="BT3" s="19"/>
      <c r="BU3" s="20">
        <f t="shared" ref="BU3:BU20" si="4">BO3/59</f>
        <v>0</v>
      </c>
      <c r="BV3" s="20">
        <f t="shared" ref="BV3:BV20" si="5">BP3/59</f>
        <v>0.30508474576271188</v>
      </c>
      <c r="BW3" s="20">
        <f t="shared" ref="BW3:BW20" si="6">BQ3/59</f>
        <v>0.69491525423728817</v>
      </c>
      <c r="BX3" s="20">
        <f>SUM(BU3:BW3)</f>
        <v>1</v>
      </c>
      <c r="BY3" s="1"/>
      <c r="BZ3" s="1"/>
      <c r="CA3" s="1"/>
      <c r="CB3" s="1"/>
      <c r="CC3" s="1"/>
      <c r="CD3" s="1"/>
      <c r="CE3" s="1"/>
    </row>
    <row r="4" spans="1:83" ht="19.5" customHeight="1" thickBot="1" x14ac:dyDescent="0.3">
      <c r="A4" s="15">
        <v>3</v>
      </c>
      <c r="B4" s="16" t="s">
        <v>58</v>
      </c>
      <c r="C4" s="17">
        <v>4</v>
      </c>
      <c r="D4" s="17">
        <v>5</v>
      </c>
      <c r="E4" s="17">
        <v>5</v>
      </c>
      <c r="F4" s="17">
        <v>5</v>
      </c>
      <c r="G4" s="17">
        <v>5</v>
      </c>
      <c r="H4" s="17">
        <v>5</v>
      </c>
      <c r="I4" s="17">
        <v>5</v>
      </c>
      <c r="J4" s="17">
        <v>5</v>
      </c>
      <c r="K4" s="17">
        <v>5</v>
      </c>
      <c r="L4" s="17">
        <v>5</v>
      </c>
      <c r="M4" s="17">
        <v>5</v>
      </c>
      <c r="N4" s="17">
        <v>5</v>
      </c>
      <c r="O4" s="17">
        <v>4</v>
      </c>
      <c r="P4" s="17">
        <v>5</v>
      </c>
      <c r="Q4" s="17"/>
      <c r="R4" s="17">
        <v>5</v>
      </c>
      <c r="S4" s="17">
        <v>5</v>
      </c>
      <c r="T4" s="17">
        <v>5</v>
      </c>
      <c r="U4" s="17">
        <v>5</v>
      </c>
      <c r="V4" s="17">
        <v>5</v>
      </c>
      <c r="W4" s="17">
        <v>5</v>
      </c>
      <c r="X4" s="17">
        <v>5</v>
      </c>
      <c r="Y4" s="17">
        <v>5</v>
      </c>
      <c r="Z4" s="17">
        <v>5</v>
      </c>
      <c r="AA4" s="17">
        <v>5</v>
      </c>
      <c r="AB4" s="17">
        <v>5</v>
      </c>
      <c r="AC4" s="17">
        <v>5</v>
      </c>
      <c r="AD4" s="17">
        <v>5</v>
      </c>
      <c r="AE4" s="17">
        <v>5</v>
      </c>
      <c r="AF4" s="17">
        <v>5</v>
      </c>
      <c r="AG4" s="17">
        <v>5</v>
      </c>
      <c r="AH4" s="17">
        <v>5</v>
      </c>
      <c r="AI4" s="17">
        <v>5</v>
      </c>
      <c r="AJ4" s="17">
        <v>5</v>
      </c>
      <c r="AK4" s="17">
        <v>5</v>
      </c>
      <c r="AL4" s="17">
        <v>5</v>
      </c>
      <c r="AM4" s="17"/>
      <c r="AN4" s="17"/>
      <c r="AO4" s="17">
        <v>5</v>
      </c>
      <c r="AP4" s="17">
        <v>4</v>
      </c>
      <c r="AQ4" s="17">
        <v>5</v>
      </c>
      <c r="AR4" s="17">
        <v>5</v>
      </c>
      <c r="AS4" s="17">
        <v>5</v>
      </c>
      <c r="AT4" s="17">
        <v>5</v>
      </c>
      <c r="AU4" s="17">
        <v>5</v>
      </c>
      <c r="AV4" s="17">
        <v>5</v>
      </c>
      <c r="AW4" s="17">
        <v>5</v>
      </c>
      <c r="AX4" s="17">
        <v>5</v>
      </c>
      <c r="AY4" s="17">
        <v>5</v>
      </c>
      <c r="AZ4" s="17">
        <v>5</v>
      </c>
      <c r="BA4" s="17">
        <v>5</v>
      </c>
      <c r="BB4" s="17">
        <v>5</v>
      </c>
      <c r="BC4" s="17">
        <v>5</v>
      </c>
      <c r="BD4" s="17">
        <v>5</v>
      </c>
      <c r="BE4" s="17">
        <v>5</v>
      </c>
      <c r="BF4" s="17">
        <v>5</v>
      </c>
      <c r="BG4" s="17">
        <v>5</v>
      </c>
      <c r="BH4" s="17">
        <v>5</v>
      </c>
      <c r="BI4" s="17">
        <v>5</v>
      </c>
      <c r="BJ4" s="17">
        <v>5</v>
      </c>
      <c r="BK4" s="17">
        <v>5</v>
      </c>
      <c r="BL4" s="17">
        <v>5</v>
      </c>
      <c r="BM4" s="17"/>
      <c r="BN4" s="17"/>
      <c r="BO4" s="18">
        <f t="shared" si="1"/>
        <v>0</v>
      </c>
      <c r="BP4" s="18">
        <f t="shared" si="2"/>
        <v>3</v>
      </c>
      <c r="BQ4" s="18">
        <f t="shared" si="3"/>
        <v>56</v>
      </c>
      <c r="BR4" s="19"/>
      <c r="BS4" s="19">
        <f t="shared" si="0"/>
        <v>0</v>
      </c>
      <c r="BT4" s="19"/>
      <c r="BU4" s="20">
        <f t="shared" si="4"/>
        <v>0</v>
      </c>
      <c r="BV4" s="20">
        <f t="shared" si="5"/>
        <v>5.0847457627118647E-2</v>
      </c>
      <c r="BW4" s="20">
        <f t="shared" si="6"/>
        <v>0.94915254237288138</v>
      </c>
      <c r="BX4" s="20">
        <f t="shared" ref="BX4:BX21" si="7">SUM(BU4:BW4)</f>
        <v>1</v>
      </c>
      <c r="BY4" s="1"/>
      <c r="BZ4" s="1"/>
      <c r="CA4" s="1"/>
      <c r="CB4" s="1"/>
      <c r="CC4" s="1"/>
      <c r="CD4" s="1"/>
      <c r="CE4" s="1"/>
    </row>
    <row r="5" spans="1:83" ht="19.5" customHeight="1" thickBot="1" x14ac:dyDescent="0.3">
      <c r="A5" s="15">
        <v>4</v>
      </c>
      <c r="B5" s="16" t="s">
        <v>59</v>
      </c>
      <c r="C5" s="17">
        <v>4</v>
      </c>
      <c r="D5" s="17">
        <v>5</v>
      </c>
      <c r="E5" s="17">
        <v>4</v>
      </c>
      <c r="F5" s="17">
        <v>4</v>
      </c>
      <c r="G5" s="17">
        <v>5</v>
      </c>
      <c r="H5" s="17">
        <v>5</v>
      </c>
      <c r="I5" s="17">
        <v>5</v>
      </c>
      <c r="J5" s="17">
        <v>5</v>
      </c>
      <c r="K5" s="17">
        <v>5</v>
      </c>
      <c r="L5" s="17">
        <v>5</v>
      </c>
      <c r="M5" s="17">
        <v>5</v>
      </c>
      <c r="N5" s="17">
        <v>5</v>
      </c>
      <c r="O5" s="17">
        <v>5</v>
      </c>
      <c r="P5" s="17">
        <v>4</v>
      </c>
      <c r="Q5" s="17"/>
      <c r="R5" s="17">
        <v>5</v>
      </c>
      <c r="S5" s="17">
        <v>4</v>
      </c>
      <c r="T5" s="17">
        <v>4</v>
      </c>
      <c r="U5" s="17">
        <v>5</v>
      </c>
      <c r="V5" s="17">
        <v>5</v>
      </c>
      <c r="W5" s="17">
        <v>5</v>
      </c>
      <c r="X5" s="17">
        <v>5</v>
      </c>
      <c r="Y5" s="17">
        <v>4</v>
      </c>
      <c r="Z5" s="17">
        <v>5</v>
      </c>
      <c r="AA5" s="17">
        <v>5</v>
      </c>
      <c r="AB5" s="17">
        <v>4</v>
      </c>
      <c r="AC5" s="17">
        <v>4</v>
      </c>
      <c r="AD5" s="17">
        <v>5</v>
      </c>
      <c r="AE5" s="17">
        <v>5</v>
      </c>
      <c r="AF5" s="17">
        <v>5</v>
      </c>
      <c r="AG5" s="17">
        <v>5</v>
      </c>
      <c r="AH5" s="17">
        <v>5</v>
      </c>
      <c r="AI5" s="17">
        <v>5</v>
      </c>
      <c r="AJ5" s="17">
        <v>4</v>
      </c>
      <c r="AK5" s="17">
        <v>4</v>
      </c>
      <c r="AL5" s="17">
        <v>4</v>
      </c>
      <c r="AM5" s="17"/>
      <c r="AN5" s="17"/>
      <c r="AO5" s="17">
        <v>4</v>
      </c>
      <c r="AP5" s="17">
        <v>3</v>
      </c>
      <c r="AQ5" s="17">
        <v>4</v>
      </c>
      <c r="AR5" s="17">
        <v>4</v>
      </c>
      <c r="AS5" s="17">
        <v>4</v>
      </c>
      <c r="AT5" s="17">
        <v>4</v>
      </c>
      <c r="AU5" s="17">
        <v>4</v>
      </c>
      <c r="AV5" s="17">
        <v>4</v>
      </c>
      <c r="AW5" s="17">
        <v>3</v>
      </c>
      <c r="AX5" s="17">
        <v>4</v>
      </c>
      <c r="AY5" s="17">
        <v>4</v>
      </c>
      <c r="AZ5" s="17">
        <v>5</v>
      </c>
      <c r="BA5" s="17">
        <v>5</v>
      </c>
      <c r="BB5" s="17">
        <v>4</v>
      </c>
      <c r="BC5" s="17">
        <v>4</v>
      </c>
      <c r="BD5" s="17">
        <v>4</v>
      </c>
      <c r="BE5" s="17">
        <v>5</v>
      </c>
      <c r="BF5" s="17">
        <v>5</v>
      </c>
      <c r="BG5" s="17">
        <v>4</v>
      </c>
      <c r="BH5" s="17">
        <v>5</v>
      </c>
      <c r="BI5" s="17">
        <v>3</v>
      </c>
      <c r="BJ5" s="17">
        <v>5</v>
      </c>
      <c r="BK5" s="17">
        <v>4</v>
      </c>
      <c r="BL5" s="17">
        <v>5</v>
      </c>
      <c r="BM5" s="17"/>
      <c r="BN5" s="17"/>
      <c r="BO5" s="18">
        <f t="shared" si="1"/>
        <v>3</v>
      </c>
      <c r="BP5" s="18">
        <f t="shared" si="2"/>
        <v>26</v>
      </c>
      <c r="BQ5" s="18">
        <f t="shared" si="3"/>
        <v>30</v>
      </c>
      <c r="BR5" s="19"/>
      <c r="BS5" s="19">
        <f t="shared" si="0"/>
        <v>0</v>
      </c>
      <c r="BT5" s="19"/>
      <c r="BU5" s="20">
        <f t="shared" si="4"/>
        <v>5.0847457627118647E-2</v>
      </c>
      <c r="BV5" s="20">
        <f t="shared" si="5"/>
        <v>0.44067796610169491</v>
      </c>
      <c r="BW5" s="20">
        <f t="shared" si="6"/>
        <v>0.50847457627118642</v>
      </c>
      <c r="BX5" s="20">
        <f t="shared" si="7"/>
        <v>1</v>
      </c>
      <c r="BY5" s="1"/>
      <c r="BZ5" s="1"/>
      <c r="CA5" s="1"/>
      <c r="CB5" s="1"/>
      <c r="CC5" s="1"/>
      <c r="CD5" s="1"/>
      <c r="CE5" s="1"/>
    </row>
    <row r="6" spans="1:83" ht="19.5" customHeight="1" thickBot="1" x14ac:dyDescent="0.3">
      <c r="A6" s="15">
        <v>5</v>
      </c>
      <c r="B6" s="16" t="s">
        <v>60</v>
      </c>
      <c r="C6" s="17">
        <v>5</v>
      </c>
      <c r="D6" s="17">
        <v>5</v>
      </c>
      <c r="E6" s="17">
        <v>4</v>
      </c>
      <c r="F6" s="17">
        <v>5</v>
      </c>
      <c r="G6" s="17">
        <v>5</v>
      </c>
      <c r="H6" s="17">
        <v>4</v>
      </c>
      <c r="I6" s="17">
        <v>5</v>
      </c>
      <c r="J6" s="17">
        <v>5</v>
      </c>
      <c r="K6" s="17">
        <v>5</v>
      </c>
      <c r="L6" s="17">
        <v>5</v>
      </c>
      <c r="M6" s="17">
        <v>5</v>
      </c>
      <c r="N6" s="17">
        <v>4</v>
      </c>
      <c r="O6" s="17">
        <v>4</v>
      </c>
      <c r="P6" s="17">
        <v>5</v>
      </c>
      <c r="Q6" s="17"/>
      <c r="R6" s="17">
        <v>5</v>
      </c>
      <c r="S6" s="17">
        <v>4</v>
      </c>
      <c r="T6" s="17">
        <v>5</v>
      </c>
      <c r="U6" s="17">
        <v>4</v>
      </c>
      <c r="V6" s="17">
        <v>5</v>
      </c>
      <c r="W6" s="17">
        <v>5</v>
      </c>
      <c r="X6" s="17">
        <v>4</v>
      </c>
      <c r="Y6" s="17">
        <v>5</v>
      </c>
      <c r="Z6" s="17">
        <v>5</v>
      </c>
      <c r="AA6" s="17">
        <v>5</v>
      </c>
      <c r="AB6" s="17">
        <v>4</v>
      </c>
      <c r="AC6" s="17">
        <v>5</v>
      </c>
      <c r="AD6" s="17">
        <v>5</v>
      </c>
      <c r="AE6" s="17">
        <v>5</v>
      </c>
      <c r="AF6" s="17">
        <v>5</v>
      </c>
      <c r="AG6" s="17">
        <v>5</v>
      </c>
      <c r="AH6" s="17">
        <v>5</v>
      </c>
      <c r="AI6" s="17">
        <v>5</v>
      </c>
      <c r="AJ6" s="17">
        <v>4</v>
      </c>
      <c r="AK6" s="17">
        <v>5</v>
      </c>
      <c r="AL6" s="17">
        <v>5</v>
      </c>
      <c r="AM6" s="17"/>
      <c r="AN6" s="17"/>
      <c r="AO6" s="17">
        <v>5</v>
      </c>
      <c r="AP6" s="17">
        <v>4</v>
      </c>
      <c r="AQ6" s="17">
        <v>5</v>
      </c>
      <c r="AR6" s="17">
        <v>5</v>
      </c>
      <c r="AS6" s="17">
        <v>5</v>
      </c>
      <c r="AT6" s="17">
        <v>5</v>
      </c>
      <c r="AU6" s="17">
        <v>5</v>
      </c>
      <c r="AV6" s="17">
        <v>5</v>
      </c>
      <c r="AW6" s="17">
        <v>5</v>
      </c>
      <c r="AX6" s="17">
        <v>5</v>
      </c>
      <c r="AY6" s="17">
        <v>4</v>
      </c>
      <c r="AZ6" s="17">
        <v>4</v>
      </c>
      <c r="BA6" s="17">
        <v>5</v>
      </c>
      <c r="BB6" s="17">
        <v>5</v>
      </c>
      <c r="BC6" s="17">
        <v>4</v>
      </c>
      <c r="BD6" s="17">
        <v>5</v>
      </c>
      <c r="BE6" s="17">
        <v>5</v>
      </c>
      <c r="BF6" s="17">
        <v>5</v>
      </c>
      <c r="BG6" s="17">
        <v>5</v>
      </c>
      <c r="BH6" s="17">
        <v>5</v>
      </c>
      <c r="BI6" s="17">
        <v>5</v>
      </c>
      <c r="BJ6" s="17">
        <v>5</v>
      </c>
      <c r="BK6" s="17">
        <v>5</v>
      </c>
      <c r="BL6" s="17">
        <v>5</v>
      </c>
      <c r="BM6" s="17"/>
      <c r="BN6" s="17"/>
      <c r="BO6" s="18">
        <f t="shared" si="1"/>
        <v>0</v>
      </c>
      <c r="BP6" s="18">
        <f t="shared" si="2"/>
        <v>13</v>
      </c>
      <c r="BQ6" s="18">
        <f t="shared" si="3"/>
        <v>46</v>
      </c>
      <c r="BR6" s="19"/>
      <c r="BS6" s="19">
        <f t="shared" si="0"/>
        <v>0</v>
      </c>
      <c r="BT6" s="19"/>
      <c r="BU6" s="20">
        <f t="shared" si="4"/>
        <v>0</v>
      </c>
      <c r="BV6" s="20">
        <f t="shared" si="5"/>
        <v>0.22033898305084745</v>
      </c>
      <c r="BW6" s="20">
        <f t="shared" si="6"/>
        <v>0.77966101694915257</v>
      </c>
      <c r="BX6" s="20">
        <f t="shared" si="7"/>
        <v>1</v>
      </c>
      <c r="BY6" s="1"/>
      <c r="BZ6" s="1"/>
      <c r="CA6" s="1"/>
      <c r="CB6" s="1"/>
      <c r="CC6" s="1"/>
      <c r="CD6" s="1"/>
      <c r="CE6" s="1"/>
    </row>
    <row r="7" spans="1:83" ht="19.5" customHeight="1" thickBot="1" x14ac:dyDescent="0.3">
      <c r="A7" s="15">
        <f>ROW(A6)</f>
        <v>6</v>
      </c>
      <c r="B7" s="16" t="s">
        <v>61</v>
      </c>
      <c r="C7" s="17">
        <v>5</v>
      </c>
      <c r="D7" s="17">
        <v>5</v>
      </c>
      <c r="E7" s="17">
        <v>5</v>
      </c>
      <c r="F7" s="17">
        <v>4</v>
      </c>
      <c r="G7" s="17">
        <v>4</v>
      </c>
      <c r="H7" s="17">
        <v>5</v>
      </c>
      <c r="I7" s="17">
        <v>3</v>
      </c>
      <c r="J7" s="17">
        <v>5</v>
      </c>
      <c r="K7" s="17">
        <v>5</v>
      </c>
      <c r="L7" s="17">
        <v>4</v>
      </c>
      <c r="M7" s="17">
        <v>5</v>
      </c>
      <c r="N7" s="17">
        <v>5</v>
      </c>
      <c r="O7" s="17">
        <v>4</v>
      </c>
      <c r="P7" s="17">
        <v>4</v>
      </c>
      <c r="Q7" s="17"/>
      <c r="R7" s="17">
        <v>5</v>
      </c>
      <c r="S7" s="17">
        <v>4</v>
      </c>
      <c r="T7" s="17">
        <v>4</v>
      </c>
      <c r="U7" s="17">
        <v>3</v>
      </c>
      <c r="V7" s="17">
        <v>3</v>
      </c>
      <c r="W7" s="17">
        <v>4</v>
      </c>
      <c r="X7" s="17">
        <v>4</v>
      </c>
      <c r="Y7" s="17">
        <v>3</v>
      </c>
      <c r="Z7" s="17">
        <v>4</v>
      </c>
      <c r="AA7" s="17">
        <v>4</v>
      </c>
      <c r="AB7" s="17">
        <v>4</v>
      </c>
      <c r="AC7" s="17">
        <v>4</v>
      </c>
      <c r="AD7" s="17">
        <v>5</v>
      </c>
      <c r="AE7" s="17">
        <v>5</v>
      </c>
      <c r="AF7" s="17">
        <v>5</v>
      </c>
      <c r="AG7" s="17">
        <v>4</v>
      </c>
      <c r="AH7" s="17">
        <v>4</v>
      </c>
      <c r="AI7" s="17">
        <v>4</v>
      </c>
      <c r="AJ7" s="17">
        <v>3</v>
      </c>
      <c r="AK7" s="17">
        <v>3</v>
      </c>
      <c r="AL7" s="17">
        <v>3</v>
      </c>
      <c r="AM7" s="17"/>
      <c r="AN7" s="17"/>
      <c r="AO7" s="17">
        <v>3</v>
      </c>
      <c r="AP7" s="17">
        <v>3</v>
      </c>
      <c r="AQ7" s="17">
        <v>4</v>
      </c>
      <c r="AR7" s="17">
        <v>3</v>
      </c>
      <c r="AS7" s="17">
        <v>3</v>
      </c>
      <c r="AT7" s="17">
        <v>3</v>
      </c>
      <c r="AU7" s="17">
        <v>3</v>
      </c>
      <c r="AV7" s="17">
        <v>3</v>
      </c>
      <c r="AW7" s="17">
        <v>3</v>
      </c>
      <c r="AX7" s="17">
        <v>3</v>
      </c>
      <c r="AY7" s="17">
        <v>4</v>
      </c>
      <c r="AZ7" s="17">
        <v>3</v>
      </c>
      <c r="BA7" s="17">
        <v>3</v>
      </c>
      <c r="BB7" s="17">
        <v>4</v>
      </c>
      <c r="BC7" s="17">
        <v>3</v>
      </c>
      <c r="BD7" s="17">
        <v>5</v>
      </c>
      <c r="BE7" s="17">
        <v>4</v>
      </c>
      <c r="BF7" s="17">
        <v>5</v>
      </c>
      <c r="BG7" s="17">
        <v>3</v>
      </c>
      <c r="BH7" s="17">
        <v>4</v>
      </c>
      <c r="BI7" s="17">
        <v>3</v>
      </c>
      <c r="BJ7" s="17">
        <v>3</v>
      </c>
      <c r="BK7" s="17">
        <v>4</v>
      </c>
      <c r="BL7" s="17">
        <v>3</v>
      </c>
      <c r="BM7" s="17"/>
      <c r="BN7" s="17"/>
      <c r="BO7" s="18">
        <f t="shared" si="1"/>
        <v>23</v>
      </c>
      <c r="BP7" s="18">
        <f t="shared" si="2"/>
        <v>22</v>
      </c>
      <c r="BQ7" s="18">
        <f t="shared" si="3"/>
        <v>14</v>
      </c>
      <c r="BR7" s="19"/>
      <c r="BS7" s="19">
        <f t="shared" si="0"/>
        <v>0</v>
      </c>
      <c r="BT7" s="19"/>
      <c r="BU7" s="20">
        <f t="shared" si="4"/>
        <v>0.38983050847457629</v>
      </c>
      <c r="BV7" s="20">
        <f t="shared" si="5"/>
        <v>0.3728813559322034</v>
      </c>
      <c r="BW7" s="20">
        <f t="shared" si="6"/>
        <v>0.23728813559322035</v>
      </c>
      <c r="BX7" s="20">
        <f t="shared" si="7"/>
        <v>1</v>
      </c>
      <c r="BY7" s="1"/>
      <c r="BZ7" s="1"/>
      <c r="CA7" s="1"/>
      <c r="CB7" s="1"/>
      <c r="CC7" s="1"/>
      <c r="CD7" s="1"/>
      <c r="CE7" s="1"/>
    </row>
    <row r="8" spans="1:83" ht="19.5" customHeight="1" thickBot="1" x14ac:dyDescent="0.3">
      <c r="A8" s="15">
        <f t="shared" ref="A8:A20" si="8">ROW(A7)</f>
        <v>7</v>
      </c>
      <c r="B8" s="16" t="s">
        <v>62</v>
      </c>
      <c r="C8" s="17">
        <v>4</v>
      </c>
      <c r="D8" s="17">
        <v>5</v>
      </c>
      <c r="E8" s="17">
        <v>5</v>
      </c>
      <c r="F8" s="17">
        <v>4</v>
      </c>
      <c r="G8" s="17">
        <v>5</v>
      </c>
      <c r="H8" s="17">
        <v>5</v>
      </c>
      <c r="I8" s="17">
        <v>5</v>
      </c>
      <c r="J8" s="17">
        <v>5</v>
      </c>
      <c r="K8" s="17">
        <v>5</v>
      </c>
      <c r="L8" s="17">
        <v>5</v>
      </c>
      <c r="M8" s="17">
        <v>5</v>
      </c>
      <c r="N8" s="17">
        <v>5</v>
      </c>
      <c r="O8" s="17">
        <v>5</v>
      </c>
      <c r="P8" s="17">
        <v>5</v>
      </c>
      <c r="Q8" s="17"/>
      <c r="R8" s="17">
        <v>5</v>
      </c>
      <c r="S8" s="17">
        <v>5</v>
      </c>
      <c r="T8" s="17">
        <v>4</v>
      </c>
      <c r="U8" s="17">
        <v>5</v>
      </c>
      <c r="V8" s="17">
        <v>5</v>
      </c>
      <c r="W8" s="17">
        <v>5</v>
      </c>
      <c r="X8" s="17">
        <v>5</v>
      </c>
      <c r="Y8" s="17">
        <v>5</v>
      </c>
      <c r="Z8" s="17">
        <v>5</v>
      </c>
      <c r="AA8" s="17">
        <v>5</v>
      </c>
      <c r="AB8" s="17">
        <v>5</v>
      </c>
      <c r="AC8" s="17">
        <v>5</v>
      </c>
      <c r="AD8" s="17">
        <v>5</v>
      </c>
      <c r="AE8" s="17">
        <v>5</v>
      </c>
      <c r="AF8" s="17">
        <v>5</v>
      </c>
      <c r="AG8" s="17">
        <v>5</v>
      </c>
      <c r="AH8" s="17">
        <v>5</v>
      </c>
      <c r="AI8" s="17">
        <v>5</v>
      </c>
      <c r="AJ8" s="17">
        <v>5</v>
      </c>
      <c r="AK8" s="17">
        <v>5</v>
      </c>
      <c r="AL8" s="17">
        <v>5</v>
      </c>
      <c r="AM8" s="17"/>
      <c r="AN8" s="17"/>
      <c r="AO8" s="17">
        <v>5</v>
      </c>
      <c r="AP8" s="17">
        <v>5</v>
      </c>
      <c r="AQ8" s="17">
        <v>5</v>
      </c>
      <c r="AR8" s="17">
        <v>5</v>
      </c>
      <c r="AS8" s="17">
        <v>5</v>
      </c>
      <c r="AT8" s="17">
        <v>5</v>
      </c>
      <c r="AU8" s="17">
        <v>5</v>
      </c>
      <c r="AV8" s="17">
        <v>5</v>
      </c>
      <c r="AW8" s="17">
        <v>5</v>
      </c>
      <c r="AX8" s="17">
        <v>5</v>
      </c>
      <c r="AY8" s="17">
        <v>5</v>
      </c>
      <c r="AZ8" s="17">
        <v>5</v>
      </c>
      <c r="BA8" s="17">
        <v>5</v>
      </c>
      <c r="BB8" s="17">
        <v>5</v>
      </c>
      <c r="BC8" s="17">
        <v>5</v>
      </c>
      <c r="BD8" s="17">
        <v>5</v>
      </c>
      <c r="BE8" s="17">
        <v>5</v>
      </c>
      <c r="BF8" s="17">
        <v>5</v>
      </c>
      <c r="BG8" s="17">
        <v>4</v>
      </c>
      <c r="BH8" s="17">
        <v>5</v>
      </c>
      <c r="BI8" s="17">
        <v>5</v>
      </c>
      <c r="BJ8" s="17">
        <v>5</v>
      </c>
      <c r="BK8" s="17">
        <v>5</v>
      </c>
      <c r="BL8" s="17">
        <v>5</v>
      </c>
      <c r="BM8" s="17"/>
      <c r="BN8" s="17"/>
      <c r="BO8" s="18">
        <f t="shared" si="1"/>
        <v>0</v>
      </c>
      <c r="BP8" s="18">
        <f t="shared" si="2"/>
        <v>4</v>
      </c>
      <c r="BQ8" s="18">
        <f t="shared" si="3"/>
        <v>55</v>
      </c>
      <c r="BR8" s="19"/>
      <c r="BS8" s="19">
        <f t="shared" si="0"/>
        <v>0</v>
      </c>
      <c r="BT8" s="19"/>
      <c r="BU8" s="20">
        <f t="shared" si="4"/>
        <v>0</v>
      </c>
      <c r="BV8" s="20">
        <f t="shared" si="5"/>
        <v>6.7796610169491525E-2</v>
      </c>
      <c r="BW8" s="20">
        <f t="shared" si="6"/>
        <v>0.93220338983050843</v>
      </c>
      <c r="BX8" s="20">
        <f t="shared" si="7"/>
        <v>1</v>
      </c>
      <c r="BY8" s="1"/>
      <c r="BZ8" s="1"/>
      <c r="CA8" s="1"/>
      <c r="CB8" s="1"/>
      <c r="CC8" s="1"/>
      <c r="CD8" s="1"/>
      <c r="CE8" s="1"/>
    </row>
    <row r="9" spans="1:83" ht="19.5" customHeight="1" thickBot="1" x14ac:dyDescent="0.3">
      <c r="A9" s="15">
        <f t="shared" si="8"/>
        <v>8</v>
      </c>
      <c r="B9" s="16" t="s">
        <v>63</v>
      </c>
      <c r="C9" s="17">
        <v>4</v>
      </c>
      <c r="D9" s="17">
        <v>4</v>
      </c>
      <c r="E9" s="17">
        <v>4</v>
      </c>
      <c r="F9" s="17">
        <v>4</v>
      </c>
      <c r="G9" s="17">
        <v>5</v>
      </c>
      <c r="H9" s="17">
        <v>5</v>
      </c>
      <c r="I9" s="17">
        <v>3</v>
      </c>
      <c r="J9" s="17">
        <v>5</v>
      </c>
      <c r="K9" s="17">
        <v>5</v>
      </c>
      <c r="L9" s="17">
        <v>5</v>
      </c>
      <c r="M9" s="17">
        <v>5</v>
      </c>
      <c r="N9" s="17">
        <v>5</v>
      </c>
      <c r="O9" s="17">
        <v>4</v>
      </c>
      <c r="P9" s="17">
        <v>4</v>
      </c>
      <c r="Q9" s="17"/>
      <c r="R9" s="17">
        <v>4</v>
      </c>
      <c r="S9" s="17">
        <v>4</v>
      </c>
      <c r="T9" s="17">
        <v>4</v>
      </c>
      <c r="U9" s="17">
        <v>5</v>
      </c>
      <c r="V9" s="17">
        <v>5</v>
      </c>
      <c r="W9" s="17">
        <v>5</v>
      </c>
      <c r="X9" s="17">
        <v>5</v>
      </c>
      <c r="Y9" s="17">
        <v>4</v>
      </c>
      <c r="Z9" s="17">
        <v>5</v>
      </c>
      <c r="AA9" s="17">
        <v>4</v>
      </c>
      <c r="AB9" s="17">
        <v>4</v>
      </c>
      <c r="AC9" s="17">
        <v>4</v>
      </c>
      <c r="AD9" s="17">
        <v>4</v>
      </c>
      <c r="AE9" s="17">
        <v>5</v>
      </c>
      <c r="AF9" s="17">
        <v>3</v>
      </c>
      <c r="AG9" s="17">
        <v>3</v>
      </c>
      <c r="AH9" s="17">
        <v>4</v>
      </c>
      <c r="AI9" s="17">
        <v>4</v>
      </c>
      <c r="AJ9" s="17">
        <v>3</v>
      </c>
      <c r="AK9" s="17">
        <v>3</v>
      </c>
      <c r="AL9" s="17">
        <v>3</v>
      </c>
      <c r="AM9" s="17"/>
      <c r="AN9" s="17"/>
      <c r="AO9" s="17">
        <v>3</v>
      </c>
      <c r="AP9" s="17">
        <v>3</v>
      </c>
      <c r="AQ9" s="17">
        <v>3</v>
      </c>
      <c r="AR9" s="17">
        <v>3</v>
      </c>
      <c r="AS9" s="17">
        <v>3</v>
      </c>
      <c r="AT9" s="17">
        <v>3</v>
      </c>
      <c r="AU9" s="17">
        <v>3</v>
      </c>
      <c r="AV9" s="17">
        <v>3</v>
      </c>
      <c r="AW9" s="17">
        <v>3</v>
      </c>
      <c r="AX9" s="17">
        <v>4</v>
      </c>
      <c r="AY9" s="17">
        <v>4</v>
      </c>
      <c r="AZ9" s="17">
        <v>3</v>
      </c>
      <c r="BA9" s="17">
        <v>3</v>
      </c>
      <c r="BB9" s="17">
        <v>4</v>
      </c>
      <c r="BC9" s="17">
        <v>4</v>
      </c>
      <c r="BD9" s="17">
        <v>3</v>
      </c>
      <c r="BE9" s="17">
        <v>4</v>
      </c>
      <c r="BF9" s="17">
        <v>3</v>
      </c>
      <c r="BG9" s="17">
        <v>3</v>
      </c>
      <c r="BH9" s="17">
        <v>4</v>
      </c>
      <c r="BI9" s="17">
        <v>3</v>
      </c>
      <c r="BJ9" s="17">
        <v>3</v>
      </c>
      <c r="BK9" s="17">
        <v>4</v>
      </c>
      <c r="BL9" s="17">
        <v>3</v>
      </c>
      <c r="BM9" s="17"/>
      <c r="BN9" s="17"/>
      <c r="BO9" s="18">
        <f t="shared" si="1"/>
        <v>23</v>
      </c>
      <c r="BP9" s="18">
        <f t="shared" si="2"/>
        <v>23</v>
      </c>
      <c r="BQ9" s="18">
        <f t="shared" si="3"/>
        <v>13</v>
      </c>
      <c r="BR9" s="19"/>
      <c r="BS9" s="19">
        <f t="shared" si="0"/>
        <v>0</v>
      </c>
      <c r="BT9" s="19"/>
      <c r="BU9" s="20">
        <f t="shared" si="4"/>
        <v>0.38983050847457629</v>
      </c>
      <c r="BV9" s="20">
        <f t="shared" si="5"/>
        <v>0.38983050847457629</v>
      </c>
      <c r="BW9" s="20">
        <f t="shared" si="6"/>
        <v>0.22033898305084745</v>
      </c>
      <c r="BX9" s="20">
        <f t="shared" si="7"/>
        <v>1</v>
      </c>
      <c r="BY9" s="1"/>
      <c r="BZ9" s="1"/>
      <c r="CA9" s="1"/>
      <c r="CB9" s="1"/>
      <c r="CC9" s="1"/>
      <c r="CD9" s="1"/>
      <c r="CE9" s="1"/>
    </row>
    <row r="10" spans="1:83" ht="19.5" customHeight="1" thickBot="1" x14ac:dyDescent="0.3">
      <c r="A10" s="15">
        <f t="shared" si="8"/>
        <v>9</v>
      </c>
      <c r="B10" s="16" t="s">
        <v>64</v>
      </c>
      <c r="C10" s="17">
        <v>5</v>
      </c>
      <c r="D10" s="17">
        <v>5</v>
      </c>
      <c r="E10" s="17">
        <v>5</v>
      </c>
      <c r="F10" s="17">
        <v>5</v>
      </c>
      <c r="G10" s="17">
        <v>5</v>
      </c>
      <c r="H10" s="17">
        <v>5</v>
      </c>
      <c r="I10" s="17">
        <v>5</v>
      </c>
      <c r="J10" s="17">
        <v>4</v>
      </c>
      <c r="K10" s="17">
        <v>5</v>
      </c>
      <c r="L10" s="17">
        <v>5</v>
      </c>
      <c r="M10" s="17">
        <v>5</v>
      </c>
      <c r="N10" s="17">
        <v>4</v>
      </c>
      <c r="O10" s="17">
        <v>4</v>
      </c>
      <c r="P10" s="17">
        <v>4</v>
      </c>
      <c r="Q10" s="17"/>
      <c r="R10" s="17">
        <v>5</v>
      </c>
      <c r="S10" s="17">
        <v>5</v>
      </c>
      <c r="T10" s="17">
        <v>4</v>
      </c>
      <c r="U10" s="17">
        <v>4</v>
      </c>
      <c r="V10" s="17">
        <v>5</v>
      </c>
      <c r="W10" s="17">
        <v>4</v>
      </c>
      <c r="X10" s="17">
        <v>4</v>
      </c>
      <c r="Y10" s="17">
        <v>4</v>
      </c>
      <c r="Z10" s="17">
        <v>5</v>
      </c>
      <c r="AA10" s="17">
        <v>5</v>
      </c>
      <c r="AB10" s="17">
        <v>5</v>
      </c>
      <c r="AC10" s="17">
        <v>5</v>
      </c>
      <c r="AD10" s="17">
        <v>5</v>
      </c>
      <c r="AE10" s="17">
        <v>5</v>
      </c>
      <c r="AF10" s="17">
        <v>4</v>
      </c>
      <c r="AG10" s="17">
        <v>5</v>
      </c>
      <c r="AH10" s="17">
        <v>4</v>
      </c>
      <c r="AI10" s="17">
        <v>4</v>
      </c>
      <c r="AJ10" s="17">
        <v>3</v>
      </c>
      <c r="AK10" s="17">
        <v>4</v>
      </c>
      <c r="AL10" s="17">
        <v>3</v>
      </c>
      <c r="AM10" s="17"/>
      <c r="AN10" s="17"/>
      <c r="AO10" s="17">
        <v>3</v>
      </c>
      <c r="AP10" s="17">
        <v>3</v>
      </c>
      <c r="AQ10" s="17">
        <v>3</v>
      </c>
      <c r="AR10" s="17">
        <v>3</v>
      </c>
      <c r="AS10" s="17">
        <v>3</v>
      </c>
      <c r="AT10" s="17">
        <v>3</v>
      </c>
      <c r="AU10" s="17">
        <v>3</v>
      </c>
      <c r="AV10" s="17">
        <v>3</v>
      </c>
      <c r="AW10" s="17">
        <v>3</v>
      </c>
      <c r="AX10" s="17">
        <v>4</v>
      </c>
      <c r="AY10" s="17">
        <v>4</v>
      </c>
      <c r="AZ10" s="17">
        <v>4</v>
      </c>
      <c r="BA10" s="17">
        <v>5</v>
      </c>
      <c r="BB10" s="17">
        <v>4</v>
      </c>
      <c r="BC10" s="17">
        <v>3</v>
      </c>
      <c r="BD10" s="17">
        <v>3</v>
      </c>
      <c r="BE10" s="17">
        <v>5</v>
      </c>
      <c r="BF10" s="17">
        <v>3</v>
      </c>
      <c r="BG10" s="17">
        <v>3</v>
      </c>
      <c r="BH10" s="17">
        <v>5</v>
      </c>
      <c r="BI10" s="17">
        <v>3</v>
      </c>
      <c r="BJ10" s="17">
        <v>3</v>
      </c>
      <c r="BK10" s="17">
        <v>4</v>
      </c>
      <c r="BL10" s="17">
        <v>5</v>
      </c>
      <c r="BM10" s="17"/>
      <c r="BN10" s="17"/>
      <c r="BO10" s="18">
        <f t="shared" si="1"/>
        <v>17</v>
      </c>
      <c r="BP10" s="18">
        <f t="shared" si="2"/>
        <v>18</v>
      </c>
      <c r="BQ10" s="18">
        <f t="shared" si="3"/>
        <v>24</v>
      </c>
      <c r="BR10" s="19"/>
      <c r="BS10" s="19">
        <f t="shared" si="0"/>
        <v>0</v>
      </c>
      <c r="BT10" s="19"/>
      <c r="BU10" s="20">
        <f t="shared" si="4"/>
        <v>0.28813559322033899</v>
      </c>
      <c r="BV10" s="20">
        <f t="shared" si="5"/>
        <v>0.30508474576271188</v>
      </c>
      <c r="BW10" s="20">
        <f t="shared" si="6"/>
        <v>0.40677966101694918</v>
      </c>
      <c r="BX10" s="20">
        <f t="shared" si="7"/>
        <v>1</v>
      </c>
      <c r="BY10" s="1"/>
      <c r="BZ10" s="1"/>
      <c r="CA10" s="1"/>
      <c r="CB10" s="1"/>
      <c r="CC10" s="1"/>
      <c r="CD10" s="1"/>
      <c r="CE10" s="1"/>
    </row>
    <row r="11" spans="1:83" ht="19.5" customHeight="1" thickBot="1" x14ac:dyDescent="0.3">
      <c r="A11" s="15">
        <f t="shared" si="8"/>
        <v>10</v>
      </c>
      <c r="B11" s="16" t="s">
        <v>65</v>
      </c>
      <c r="C11" s="17">
        <v>4</v>
      </c>
      <c r="D11" s="17">
        <v>4</v>
      </c>
      <c r="E11" s="17">
        <v>5</v>
      </c>
      <c r="F11" s="17">
        <v>4</v>
      </c>
      <c r="G11" s="17">
        <v>4</v>
      </c>
      <c r="H11" s="17">
        <v>5</v>
      </c>
      <c r="I11" s="17">
        <v>5</v>
      </c>
      <c r="J11" s="17">
        <v>4</v>
      </c>
      <c r="K11" s="17">
        <v>4</v>
      </c>
      <c r="L11" s="17">
        <v>5</v>
      </c>
      <c r="M11" s="17">
        <v>4</v>
      </c>
      <c r="N11" s="17">
        <v>4</v>
      </c>
      <c r="O11" s="17">
        <v>4</v>
      </c>
      <c r="P11" s="17">
        <v>5</v>
      </c>
      <c r="Q11" s="17"/>
      <c r="R11" s="17">
        <v>4</v>
      </c>
      <c r="S11" s="17">
        <v>4</v>
      </c>
      <c r="T11" s="17">
        <v>5</v>
      </c>
      <c r="U11" s="17">
        <v>5</v>
      </c>
      <c r="V11" s="17">
        <v>5</v>
      </c>
      <c r="W11" s="17">
        <v>4</v>
      </c>
      <c r="X11" s="17">
        <v>4</v>
      </c>
      <c r="Y11" s="17">
        <v>5</v>
      </c>
      <c r="Z11" s="17">
        <v>4</v>
      </c>
      <c r="AA11" s="17">
        <v>5</v>
      </c>
      <c r="AB11" s="17">
        <v>4</v>
      </c>
      <c r="AC11" s="17">
        <v>5</v>
      </c>
      <c r="AD11" s="17">
        <v>4</v>
      </c>
      <c r="AE11" s="17">
        <v>5</v>
      </c>
      <c r="AF11" s="17">
        <v>4</v>
      </c>
      <c r="AG11" s="17">
        <v>4</v>
      </c>
      <c r="AH11" s="17">
        <v>5</v>
      </c>
      <c r="AI11" s="17">
        <v>5</v>
      </c>
      <c r="AJ11" s="17">
        <v>5</v>
      </c>
      <c r="AK11" s="17">
        <v>5</v>
      </c>
      <c r="AL11" s="17">
        <v>5</v>
      </c>
      <c r="AM11" s="17"/>
      <c r="AN11" s="17"/>
      <c r="AO11" s="17">
        <v>5</v>
      </c>
      <c r="AP11" s="17">
        <v>4</v>
      </c>
      <c r="AQ11" s="17">
        <v>5</v>
      </c>
      <c r="AR11" s="17">
        <v>5</v>
      </c>
      <c r="AS11" s="17">
        <v>5</v>
      </c>
      <c r="AT11" s="17">
        <v>5</v>
      </c>
      <c r="AU11" s="17">
        <v>4</v>
      </c>
      <c r="AV11" s="17">
        <v>5</v>
      </c>
      <c r="AW11" s="17">
        <v>4</v>
      </c>
      <c r="AX11" s="17">
        <v>4</v>
      </c>
      <c r="AY11" s="17">
        <v>4</v>
      </c>
      <c r="AZ11" s="17">
        <v>4</v>
      </c>
      <c r="BA11" s="17">
        <v>5</v>
      </c>
      <c r="BB11" s="17">
        <v>5</v>
      </c>
      <c r="BC11" s="17">
        <v>5</v>
      </c>
      <c r="BD11" s="17">
        <v>3</v>
      </c>
      <c r="BE11" s="17">
        <v>5</v>
      </c>
      <c r="BF11" s="17">
        <v>5</v>
      </c>
      <c r="BG11" s="17">
        <v>5</v>
      </c>
      <c r="BH11" s="17">
        <v>5</v>
      </c>
      <c r="BI11" s="17">
        <v>4</v>
      </c>
      <c r="BJ11" s="17">
        <v>5</v>
      </c>
      <c r="BK11" s="17">
        <v>5</v>
      </c>
      <c r="BL11" s="17">
        <v>4</v>
      </c>
      <c r="BM11" s="17"/>
      <c r="BN11" s="17"/>
      <c r="BO11" s="18">
        <f t="shared" si="1"/>
        <v>1</v>
      </c>
      <c r="BP11" s="18">
        <f t="shared" si="2"/>
        <v>26</v>
      </c>
      <c r="BQ11" s="18">
        <f t="shared" si="3"/>
        <v>32</v>
      </c>
      <c r="BR11" s="19"/>
      <c r="BS11" s="19">
        <f t="shared" si="0"/>
        <v>0</v>
      </c>
      <c r="BT11" s="19"/>
      <c r="BU11" s="20">
        <f t="shared" si="4"/>
        <v>1.6949152542372881E-2</v>
      </c>
      <c r="BV11" s="20">
        <f t="shared" si="5"/>
        <v>0.44067796610169491</v>
      </c>
      <c r="BW11" s="20">
        <f t="shared" si="6"/>
        <v>0.5423728813559322</v>
      </c>
      <c r="BX11" s="20">
        <f t="shared" si="7"/>
        <v>1</v>
      </c>
      <c r="BY11" s="1"/>
      <c r="BZ11" s="1"/>
      <c r="CA11" s="1"/>
      <c r="CB11" s="1"/>
      <c r="CC11" s="1"/>
      <c r="CD11" s="1"/>
      <c r="CE11" s="1"/>
    </row>
    <row r="12" spans="1:83" ht="19.5" customHeight="1" thickBot="1" x14ac:dyDescent="0.3">
      <c r="A12" s="15">
        <f t="shared" si="8"/>
        <v>11</v>
      </c>
      <c r="B12" s="16" t="s">
        <v>66</v>
      </c>
      <c r="C12" s="17">
        <v>4</v>
      </c>
      <c r="D12" s="17">
        <v>5</v>
      </c>
      <c r="E12" s="17">
        <v>4</v>
      </c>
      <c r="F12" s="17">
        <v>4</v>
      </c>
      <c r="G12" s="17">
        <v>4</v>
      </c>
      <c r="H12" s="17">
        <v>5</v>
      </c>
      <c r="I12" s="17">
        <v>5</v>
      </c>
      <c r="J12" s="17">
        <v>5</v>
      </c>
      <c r="K12" s="17">
        <v>5</v>
      </c>
      <c r="L12" s="17">
        <v>5</v>
      </c>
      <c r="M12" s="17">
        <v>5</v>
      </c>
      <c r="N12" s="17">
        <v>4</v>
      </c>
      <c r="O12" s="17">
        <v>4</v>
      </c>
      <c r="P12" s="17">
        <v>4</v>
      </c>
      <c r="Q12" s="17"/>
      <c r="R12" s="17">
        <v>4</v>
      </c>
      <c r="S12" s="17">
        <v>4</v>
      </c>
      <c r="T12" s="17">
        <v>4</v>
      </c>
      <c r="U12" s="17">
        <v>4</v>
      </c>
      <c r="V12" s="17">
        <v>5</v>
      </c>
      <c r="W12" s="17">
        <v>4</v>
      </c>
      <c r="X12" s="17">
        <v>4</v>
      </c>
      <c r="Y12" s="17">
        <v>4</v>
      </c>
      <c r="Z12" s="17">
        <v>5</v>
      </c>
      <c r="AA12" s="17">
        <v>5</v>
      </c>
      <c r="AB12" s="17">
        <v>4</v>
      </c>
      <c r="AC12" s="17">
        <v>5</v>
      </c>
      <c r="AD12" s="17">
        <v>4</v>
      </c>
      <c r="AE12" s="17">
        <v>5</v>
      </c>
      <c r="AF12" s="17">
        <v>4</v>
      </c>
      <c r="AG12" s="17">
        <v>5</v>
      </c>
      <c r="AH12" s="17">
        <v>5</v>
      </c>
      <c r="AI12" s="17">
        <v>5</v>
      </c>
      <c r="AJ12" s="17">
        <v>4</v>
      </c>
      <c r="AK12" s="17">
        <v>4</v>
      </c>
      <c r="AL12" s="17">
        <v>4</v>
      </c>
      <c r="AM12" s="17"/>
      <c r="AN12" s="17"/>
      <c r="AO12" s="17">
        <v>3</v>
      </c>
      <c r="AP12" s="17">
        <v>3</v>
      </c>
      <c r="AQ12" s="17">
        <v>4</v>
      </c>
      <c r="AR12" s="17">
        <v>4</v>
      </c>
      <c r="AS12" s="17">
        <v>3</v>
      </c>
      <c r="AT12" s="17">
        <v>3</v>
      </c>
      <c r="AU12" s="17">
        <v>3</v>
      </c>
      <c r="AV12" s="17">
        <v>4</v>
      </c>
      <c r="AW12" s="17">
        <v>3</v>
      </c>
      <c r="AX12" s="17">
        <v>4</v>
      </c>
      <c r="AY12" s="17">
        <v>4</v>
      </c>
      <c r="AZ12" s="17">
        <v>5</v>
      </c>
      <c r="BA12" s="17">
        <v>5</v>
      </c>
      <c r="BB12" s="17">
        <v>4</v>
      </c>
      <c r="BC12" s="17">
        <v>3</v>
      </c>
      <c r="BD12" s="17">
        <v>3</v>
      </c>
      <c r="BE12" s="17">
        <v>5</v>
      </c>
      <c r="BF12" s="17">
        <v>5</v>
      </c>
      <c r="BG12" s="17">
        <v>3</v>
      </c>
      <c r="BH12" s="17">
        <v>5</v>
      </c>
      <c r="BI12" s="17">
        <v>3</v>
      </c>
      <c r="BJ12" s="17">
        <v>3</v>
      </c>
      <c r="BK12" s="17">
        <v>4</v>
      </c>
      <c r="BL12" s="17">
        <v>3</v>
      </c>
      <c r="BM12" s="17"/>
      <c r="BN12" s="17"/>
      <c r="BO12" s="18">
        <f t="shared" si="1"/>
        <v>12</v>
      </c>
      <c r="BP12" s="18">
        <f t="shared" si="2"/>
        <v>27</v>
      </c>
      <c r="BQ12" s="18">
        <f t="shared" si="3"/>
        <v>20</v>
      </c>
      <c r="BR12" s="19"/>
      <c r="BS12" s="19">
        <f t="shared" si="0"/>
        <v>0</v>
      </c>
      <c r="BT12" s="19"/>
      <c r="BU12" s="20">
        <f t="shared" si="4"/>
        <v>0.20338983050847459</v>
      </c>
      <c r="BV12" s="20">
        <f t="shared" si="5"/>
        <v>0.4576271186440678</v>
      </c>
      <c r="BW12" s="20">
        <f t="shared" si="6"/>
        <v>0.33898305084745761</v>
      </c>
      <c r="BX12" s="20">
        <f t="shared" si="7"/>
        <v>1</v>
      </c>
      <c r="BY12" s="1"/>
      <c r="BZ12" s="1"/>
      <c r="CA12" s="1"/>
      <c r="CB12" s="1"/>
      <c r="CC12" s="1"/>
      <c r="CD12" s="1"/>
      <c r="CE12" s="1"/>
    </row>
    <row r="13" spans="1:83" s="7" customFormat="1" ht="19.5" customHeight="1" thickBot="1" x14ac:dyDescent="0.3">
      <c r="A13" s="15">
        <f t="shared" si="8"/>
        <v>12</v>
      </c>
      <c r="B13" s="16" t="s">
        <v>67</v>
      </c>
      <c r="C13" s="17">
        <v>4</v>
      </c>
      <c r="D13" s="17">
        <v>5</v>
      </c>
      <c r="E13" s="17">
        <v>5</v>
      </c>
      <c r="F13" s="17">
        <v>4</v>
      </c>
      <c r="G13" s="17">
        <v>4</v>
      </c>
      <c r="H13" s="17">
        <v>5</v>
      </c>
      <c r="I13" s="17">
        <v>5</v>
      </c>
      <c r="J13" s="17">
        <v>5</v>
      </c>
      <c r="K13" s="17">
        <v>5</v>
      </c>
      <c r="L13" s="17">
        <v>4</v>
      </c>
      <c r="M13" s="17">
        <v>5</v>
      </c>
      <c r="N13" s="17">
        <v>4</v>
      </c>
      <c r="O13" s="17">
        <v>5</v>
      </c>
      <c r="P13" s="17">
        <v>4</v>
      </c>
      <c r="Q13" s="17"/>
      <c r="R13" s="17">
        <v>5</v>
      </c>
      <c r="S13" s="17">
        <v>4</v>
      </c>
      <c r="T13" s="17">
        <v>4</v>
      </c>
      <c r="U13" s="17">
        <v>5</v>
      </c>
      <c r="V13" s="17">
        <v>5</v>
      </c>
      <c r="W13" s="17">
        <v>3</v>
      </c>
      <c r="X13" s="17">
        <v>4</v>
      </c>
      <c r="Y13" s="17">
        <v>3</v>
      </c>
      <c r="Z13" s="17">
        <v>4</v>
      </c>
      <c r="AA13" s="17">
        <v>5</v>
      </c>
      <c r="AB13" s="17">
        <v>4</v>
      </c>
      <c r="AC13" s="17">
        <v>4</v>
      </c>
      <c r="AD13" s="17">
        <v>5</v>
      </c>
      <c r="AE13" s="17">
        <v>5</v>
      </c>
      <c r="AF13" s="17">
        <v>5</v>
      </c>
      <c r="AG13" s="17">
        <v>4</v>
      </c>
      <c r="AH13" s="17">
        <v>5</v>
      </c>
      <c r="AI13" s="17">
        <v>5</v>
      </c>
      <c r="AJ13" s="17">
        <v>3</v>
      </c>
      <c r="AK13" s="17">
        <v>5</v>
      </c>
      <c r="AL13" s="17">
        <v>4</v>
      </c>
      <c r="AM13" s="17"/>
      <c r="AN13" s="17"/>
      <c r="AO13" s="17">
        <v>3</v>
      </c>
      <c r="AP13" s="17">
        <v>3</v>
      </c>
      <c r="AQ13" s="17">
        <v>5</v>
      </c>
      <c r="AR13" s="17">
        <v>3</v>
      </c>
      <c r="AS13" s="17">
        <v>3</v>
      </c>
      <c r="AT13" s="17">
        <v>3</v>
      </c>
      <c r="AU13" s="17">
        <v>3</v>
      </c>
      <c r="AV13" s="17">
        <v>3</v>
      </c>
      <c r="AW13" s="17">
        <v>3</v>
      </c>
      <c r="AX13" s="17">
        <v>3</v>
      </c>
      <c r="AY13" s="17">
        <v>4</v>
      </c>
      <c r="AZ13" s="17">
        <v>4</v>
      </c>
      <c r="BA13" s="17">
        <v>3</v>
      </c>
      <c r="BB13" s="17">
        <v>4</v>
      </c>
      <c r="BC13" s="17">
        <v>3</v>
      </c>
      <c r="BD13" s="17">
        <v>3</v>
      </c>
      <c r="BE13" s="17">
        <v>5</v>
      </c>
      <c r="BF13" s="17">
        <v>5</v>
      </c>
      <c r="BG13" s="17">
        <v>3</v>
      </c>
      <c r="BH13" s="17">
        <v>4</v>
      </c>
      <c r="BI13" s="17">
        <v>3</v>
      </c>
      <c r="BJ13" s="17">
        <v>3</v>
      </c>
      <c r="BK13" s="17">
        <v>4</v>
      </c>
      <c r="BL13" s="17">
        <v>3</v>
      </c>
      <c r="BM13" s="17"/>
      <c r="BN13" s="17"/>
      <c r="BO13" s="18">
        <f t="shared" si="1"/>
        <v>19</v>
      </c>
      <c r="BP13" s="18">
        <f t="shared" si="2"/>
        <v>19</v>
      </c>
      <c r="BQ13" s="18">
        <f t="shared" si="3"/>
        <v>21</v>
      </c>
      <c r="BR13" s="19"/>
      <c r="BS13" s="19">
        <f t="shared" si="0"/>
        <v>0</v>
      </c>
      <c r="BT13" s="19"/>
      <c r="BU13" s="20">
        <f t="shared" si="4"/>
        <v>0.32203389830508472</v>
      </c>
      <c r="BV13" s="20">
        <f t="shared" si="5"/>
        <v>0.32203389830508472</v>
      </c>
      <c r="BW13" s="20">
        <f t="shared" si="6"/>
        <v>0.3559322033898305</v>
      </c>
      <c r="BX13" s="20">
        <f t="shared" si="7"/>
        <v>1</v>
      </c>
      <c r="BY13" s="1"/>
      <c r="BZ13" s="1"/>
      <c r="CA13" s="1"/>
      <c r="CB13" s="1"/>
      <c r="CC13" s="1"/>
      <c r="CD13" s="1"/>
      <c r="CE13" s="1"/>
    </row>
    <row r="14" spans="1:83" ht="19.5" customHeight="1" thickBot="1" x14ac:dyDescent="0.3">
      <c r="A14" s="15">
        <f t="shared" si="8"/>
        <v>13</v>
      </c>
      <c r="B14" s="16" t="s">
        <v>68</v>
      </c>
      <c r="C14" s="17">
        <v>4</v>
      </c>
      <c r="D14" s="17">
        <v>5</v>
      </c>
      <c r="E14" s="17">
        <v>5</v>
      </c>
      <c r="F14" s="17">
        <v>5</v>
      </c>
      <c r="G14" s="17">
        <v>5</v>
      </c>
      <c r="H14" s="17">
        <v>5</v>
      </c>
      <c r="I14" s="17">
        <v>5</v>
      </c>
      <c r="J14" s="17">
        <v>5</v>
      </c>
      <c r="K14" s="17">
        <v>5</v>
      </c>
      <c r="L14" s="17">
        <v>5</v>
      </c>
      <c r="M14" s="17">
        <v>5</v>
      </c>
      <c r="N14" s="17">
        <v>5</v>
      </c>
      <c r="O14" s="17">
        <v>5</v>
      </c>
      <c r="P14" s="17">
        <v>4</v>
      </c>
      <c r="Q14" s="17"/>
      <c r="R14" s="17">
        <v>5</v>
      </c>
      <c r="S14" s="17">
        <v>5</v>
      </c>
      <c r="T14" s="17">
        <v>5</v>
      </c>
      <c r="U14" s="17">
        <v>5</v>
      </c>
      <c r="V14" s="17">
        <v>5</v>
      </c>
      <c r="W14" s="17">
        <v>5</v>
      </c>
      <c r="X14" s="17">
        <v>5</v>
      </c>
      <c r="Y14" s="17">
        <v>5</v>
      </c>
      <c r="Z14" s="17">
        <v>5</v>
      </c>
      <c r="AA14" s="17">
        <v>5</v>
      </c>
      <c r="AB14" s="17">
        <v>4</v>
      </c>
      <c r="AC14" s="17">
        <v>5</v>
      </c>
      <c r="AD14" s="17">
        <v>4</v>
      </c>
      <c r="AE14" s="17">
        <v>5</v>
      </c>
      <c r="AF14" s="17">
        <v>3</v>
      </c>
      <c r="AG14" s="17">
        <v>5</v>
      </c>
      <c r="AH14" s="17">
        <v>3</v>
      </c>
      <c r="AI14" s="17">
        <v>5</v>
      </c>
      <c r="AJ14" s="17">
        <v>3</v>
      </c>
      <c r="AK14" s="17">
        <v>3</v>
      </c>
      <c r="AL14" s="17">
        <v>5</v>
      </c>
      <c r="AM14" s="17"/>
      <c r="AN14" s="17"/>
      <c r="AO14" s="17">
        <v>3</v>
      </c>
      <c r="AP14" s="17">
        <v>3</v>
      </c>
      <c r="AQ14" s="17">
        <v>3</v>
      </c>
      <c r="AR14" s="17">
        <v>3</v>
      </c>
      <c r="AS14" s="17">
        <v>3</v>
      </c>
      <c r="AT14" s="17">
        <v>3</v>
      </c>
      <c r="AU14" s="17">
        <v>3</v>
      </c>
      <c r="AV14" s="17">
        <v>3</v>
      </c>
      <c r="AW14" s="17">
        <v>3</v>
      </c>
      <c r="AX14" s="17">
        <v>5</v>
      </c>
      <c r="AY14" s="17">
        <v>5</v>
      </c>
      <c r="AZ14" s="17">
        <v>5</v>
      </c>
      <c r="BA14" s="17">
        <v>5</v>
      </c>
      <c r="BB14" s="17">
        <v>4</v>
      </c>
      <c r="BC14" s="17">
        <v>3</v>
      </c>
      <c r="BD14" s="17">
        <v>3</v>
      </c>
      <c r="BE14" s="17">
        <v>5</v>
      </c>
      <c r="BF14" s="17">
        <v>5</v>
      </c>
      <c r="BG14" s="17">
        <v>3</v>
      </c>
      <c r="BH14" s="17">
        <v>5</v>
      </c>
      <c r="BI14" s="17">
        <v>3</v>
      </c>
      <c r="BJ14" s="17">
        <v>3</v>
      </c>
      <c r="BK14" s="17">
        <v>4</v>
      </c>
      <c r="BL14" s="17">
        <v>3</v>
      </c>
      <c r="BM14" s="17"/>
      <c r="BN14" s="17"/>
      <c r="BO14" s="18">
        <f t="shared" si="1"/>
        <v>19</v>
      </c>
      <c r="BP14" s="18">
        <f t="shared" si="2"/>
        <v>6</v>
      </c>
      <c r="BQ14" s="18">
        <f t="shared" si="3"/>
        <v>34</v>
      </c>
      <c r="BR14" s="19"/>
      <c r="BS14" s="19">
        <f t="shared" si="0"/>
        <v>0</v>
      </c>
      <c r="BT14" s="19"/>
      <c r="BU14" s="20">
        <f t="shared" si="4"/>
        <v>0.32203389830508472</v>
      </c>
      <c r="BV14" s="20">
        <f t="shared" si="5"/>
        <v>0.10169491525423729</v>
      </c>
      <c r="BW14" s="20">
        <f t="shared" si="6"/>
        <v>0.57627118644067798</v>
      </c>
      <c r="BX14" s="20">
        <f t="shared" si="7"/>
        <v>1</v>
      </c>
      <c r="BY14" s="1"/>
      <c r="BZ14" s="1"/>
      <c r="CA14" s="1"/>
      <c r="CB14" s="1"/>
      <c r="CC14" s="1"/>
      <c r="CD14" s="1"/>
      <c r="CE14" s="1"/>
    </row>
    <row r="15" spans="1:83" s="8" customFormat="1" ht="19.5" customHeight="1" thickBot="1" x14ac:dyDescent="0.3">
      <c r="A15" s="21">
        <f t="shared" si="8"/>
        <v>14</v>
      </c>
      <c r="B15" s="16" t="s">
        <v>69</v>
      </c>
      <c r="C15" s="17">
        <v>5</v>
      </c>
      <c r="D15" s="17">
        <v>5</v>
      </c>
      <c r="E15" s="17">
        <v>5</v>
      </c>
      <c r="F15" s="17">
        <v>4</v>
      </c>
      <c r="G15" s="17">
        <v>5</v>
      </c>
      <c r="H15" s="17">
        <v>5</v>
      </c>
      <c r="I15" s="17">
        <v>5</v>
      </c>
      <c r="J15" s="17">
        <v>5</v>
      </c>
      <c r="K15" s="17">
        <v>5</v>
      </c>
      <c r="L15" s="17">
        <v>5</v>
      </c>
      <c r="M15" s="17">
        <v>5</v>
      </c>
      <c r="N15" s="17">
        <v>5</v>
      </c>
      <c r="O15" s="17">
        <v>5</v>
      </c>
      <c r="P15" s="17">
        <v>5</v>
      </c>
      <c r="Q15" s="17"/>
      <c r="R15" s="17">
        <v>5</v>
      </c>
      <c r="S15" s="17">
        <v>5</v>
      </c>
      <c r="T15" s="17">
        <v>5</v>
      </c>
      <c r="U15" s="17">
        <v>5</v>
      </c>
      <c r="V15" s="17">
        <v>5</v>
      </c>
      <c r="W15" s="17">
        <v>5</v>
      </c>
      <c r="X15" s="17">
        <v>5</v>
      </c>
      <c r="Y15" s="17">
        <v>5</v>
      </c>
      <c r="Z15" s="17">
        <v>5</v>
      </c>
      <c r="AA15" s="17">
        <v>5</v>
      </c>
      <c r="AB15" s="17">
        <v>5</v>
      </c>
      <c r="AC15" s="17">
        <v>5</v>
      </c>
      <c r="AD15" s="17">
        <v>5</v>
      </c>
      <c r="AE15" s="17">
        <v>5</v>
      </c>
      <c r="AF15" s="17">
        <v>5</v>
      </c>
      <c r="AG15" s="17">
        <v>5</v>
      </c>
      <c r="AH15" s="17">
        <v>5</v>
      </c>
      <c r="AI15" s="17">
        <v>5</v>
      </c>
      <c r="AJ15" s="17">
        <v>5</v>
      </c>
      <c r="AK15" s="17">
        <v>5</v>
      </c>
      <c r="AL15" s="17">
        <v>5</v>
      </c>
      <c r="AM15" s="17"/>
      <c r="AN15" s="17"/>
      <c r="AO15" s="17">
        <v>5</v>
      </c>
      <c r="AP15" s="17">
        <v>5</v>
      </c>
      <c r="AQ15" s="17">
        <v>5</v>
      </c>
      <c r="AR15" s="17">
        <v>5</v>
      </c>
      <c r="AS15" s="17">
        <v>5</v>
      </c>
      <c r="AT15" s="17">
        <v>5</v>
      </c>
      <c r="AU15" s="17">
        <v>5</v>
      </c>
      <c r="AV15" s="17">
        <v>5</v>
      </c>
      <c r="AW15" s="17">
        <v>5</v>
      </c>
      <c r="AX15" s="17">
        <v>5</v>
      </c>
      <c r="AY15" s="17">
        <v>5</v>
      </c>
      <c r="AZ15" s="17">
        <v>5</v>
      </c>
      <c r="BA15" s="17">
        <v>5</v>
      </c>
      <c r="BB15" s="17">
        <v>5</v>
      </c>
      <c r="BC15" s="17">
        <v>5</v>
      </c>
      <c r="BD15" s="17">
        <v>5</v>
      </c>
      <c r="BE15" s="17">
        <v>5</v>
      </c>
      <c r="BF15" s="17">
        <v>5</v>
      </c>
      <c r="BG15" s="17">
        <v>5</v>
      </c>
      <c r="BH15" s="17">
        <v>5</v>
      </c>
      <c r="BI15" s="17">
        <v>5</v>
      </c>
      <c r="BJ15" s="17">
        <v>5</v>
      </c>
      <c r="BK15" s="17">
        <v>5</v>
      </c>
      <c r="BL15" s="17">
        <v>5</v>
      </c>
      <c r="BM15" s="17"/>
      <c r="BN15" s="17"/>
      <c r="BO15" s="18">
        <f t="shared" si="1"/>
        <v>0</v>
      </c>
      <c r="BP15" s="18">
        <f t="shared" si="2"/>
        <v>1</v>
      </c>
      <c r="BQ15" s="18">
        <f t="shared" si="3"/>
        <v>58</v>
      </c>
      <c r="BR15" s="16"/>
      <c r="BS15" s="19">
        <f t="shared" si="0"/>
        <v>0</v>
      </c>
      <c r="BT15" s="16"/>
      <c r="BU15" s="20">
        <f t="shared" si="4"/>
        <v>0</v>
      </c>
      <c r="BV15" s="20">
        <f t="shared" si="5"/>
        <v>1.6949152542372881E-2</v>
      </c>
      <c r="BW15" s="20">
        <f t="shared" si="6"/>
        <v>0.98305084745762716</v>
      </c>
      <c r="BX15" s="22">
        <f t="shared" si="7"/>
        <v>1</v>
      </c>
      <c r="BY15" s="3"/>
      <c r="BZ15" s="3"/>
      <c r="CA15" s="3"/>
      <c r="CB15" s="3"/>
      <c r="CC15" s="3"/>
      <c r="CD15" s="3"/>
      <c r="CE15" s="3"/>
    </row>
    <row r="16" spans="1:83" ht="19.5" customHeight="1" thickBot="1" x14ac:dyDescent="0.3">
      <c r="A16" s="15">
        <f t="shared" si="8"/>
        <v>15</v>
      </c>
      <c r="B16" s="16" t="s">
        <v>70</v>
      </c>
      <c r="C16" s="17">
        <v>4</v>
      </c>
      <c r="D16" s="17">
        <v>5</v>
      </c>
      <c r="E16" s="17">
        <v>4</v>
      </c>
      <c r="F16" s="17">
        <v>4</v>
      </c>
      <c r="G16" s="17">
        <v>4</v>
      </c>
      <c r="H16" s="17">
        <v>5</v>
      </c>
      <c r="I16" s="17">
        <v>5</v>
      </c>
      <c r="J16" s="17">
        <v>5</v>
      </c>
      <c r="K16" s="17">
        <v>5</v>
      </c>
      <c r="L16" s="17">
        <v>5</v>
      </c>
      <c r="M16" s="17">
        <v>4</v>
      </c>
      <c r="N16" s="17">
        <v>5</v>
      </c>
      <c r="O16" s="17">
        <v>5</v>
      </c>
      <c r="P16" s="17">
        <v>4</v>
      </c>
      <c r="Q16" s="17"/>
      <c r="R16" s="23">
        <v>4</v>
      </c>
      <c r="S16" s="17">
        <v>4</v>
      </c>
      <c r="T16" s="17">
        <v>5</v>
      </c>
      <c r="U16" s="17">
        <v>5</v>
      </c>
      <c r="V16" s="17">
        <v>5</v>
      </c>
      <c r="W16" s="17">
        <v>5</v>
      </c>
      <c r="X16" s="17">
        <v>5</v>
      </c>
      <c r="Y16" s="17">
        <v>5</v>
      </c>
      <c r="Z16" s="17">
        <v>5</v>
      </c>
      <c r="AA16" s="17">
        <v>5</v>
      </c>
      <c r="AB16" s="17">
        <v>5</v>
      </c>
      <c r="AC16" s="17">
        <v>5</v>
      </c>
      <c r="AD16" s="17">
        <v>5</v>
      </c>
      <c r="AE16" s="17">
        <v>5</v>
      </c>
      <c r="AF16" s="17">
        <v>5</v>
      </c>
      <c r="AG16" s="17">
        <v>5</v>
      </c>
      <c r="AH16" s="17">
        <v>5</v>
      </c>
      <c r="AI16" s="17">
        <v>5</v>
      </c>
      <c r="AJ16" s="17">
        <v>5</v>
      </c>
      <c r="AK16" s="17">
        <v>4</v>
      </c>
      <c r="AL16" s="17">
        <v>5</v>
      </c>
      <c r="AM16" s="17"/>
      <c r="AN16" s="17"/>
      <c r="AO16" s="17">
        <v>5</v>
      </c>
      <c r="AP16" s="17">
        <v>5</v>
      </c>
      <c r="AQ16" s="17">
        <v>5</v>
      </c>
      <c r="AR16" s="17">
        <v>5</v>
      </c>
      <c r="AS16" s="17">
        <v>5</v>
      </c>
      <c r="AT16" s="17">
        <v>5</v>
      </c>
      <c r="AU16" s="17">
        <v>5</v>
      </c>
      <c r="AV16" s="17">
        <v>5</v>
      </c>
      <c r="AW16" s="17">
        <v>5</v>
      </c>
      <c r="AX16" s="17">
        <v>5</v>
      </c>
      <c r="AY16" s="17">
        <v>5</v>
      </c>
      <c r="AZ16" s="17">
        <v>5</v>
      </c>
      <c r="BA16" s="17">
        <v>5</v>
      </c>
      <c r="BB16" s="17">
        <v>5</v>
      </c>
      <c r="BC16" s="17">
        <v>5</v>
      </c>
      <c r="BD16" s="17">
        <v>5</v>
      </c>
      <c r="BE16" s="17">
        <v>5</v>
      </c>
      <c r="BF16" s="17">
        <v>5</v>
      </c>
      <c r="BG16" s="17">
        <v>5</v>
      </c>
      <c r="BH16" s="17">
        <v>5</v>
      </c>
      <c r="BI16" s="17">
        <v>5</v>
      </c>
      <c r="BJ16" s="17">
        <v>5</v>
      </c>
      <c r="BK16" s="17">
        <v>5</v>
      </c>
      <c r="BL16" s="17">
        <v>5</v>
      </c>
      <c r="BM16" s="17"/>
      <c r="BN16" s="17"/>
      <c r="BO16" s="18">
        <f t="shared" si="1"/>
        <v>0</v>
      </c>
      <c r="BP16" s="18">
        <f t="shared" si="2"/>
        <v>9</v>
      </c>
      <c r="BQ16" s="18">
        <f t="shared" si="3"/>
        <v>50</v>
      </c>
      <c r="BR16" s="19"/>
      <c r="BS16" s="19">
        <f t="shared" si="0"/>
        <v>0</v>
      </c>
      <c r="BT16" s="19"/>
      <c r="BU16" s="20">
        <f t="shared" si="4"/>
        <v>0</v>
      </c>
      <c r="BV16" s="20">
        <f t="shared" si="5"/>
        <v>0.15254237288135594</v>
      </c>
      <c r="BW16" s="20">
        <f t="shared" si="6"/>
        <v>0.84745762711864403</v>
      </c>
      <c r="BX16" s="20">
        <f t="shared" si="7"/>
        <v>1</v>
      </c>
      <c r="BY16" s="1"/>
      <c r="BZ16" s="1"/>
      <c r="CA16" s="1"/>
      <c r="CB16" s="1"/>
      <c r="CC16" s="1"/>
      <c r="CD16" s="1"/>
      <c r="CE16" s="1"/>
    </row>
    <row r="17" spans="1:83" ht="16.5" thickBot="1" x14ac:dyDescent="0.3">
      <c r="A17" s="15">
        <v>16</v>
      </c>
      <c r="B17" s="16" t="s">
        <v>71</v>
      </c>
      <c r="C17" s="17">
        <v>4</v>
      </c>
      <c r="D17" s="17">
        <v>4</v>
      </c>
      <c r="E17" s="17">
        <v>5</v>
      </c>
      <c r="F17" s="17">
        <v>4</v>
      </c>
      <c r="G17" s="17">
        <v>4</v>
      </c>
      <c r="H17" s="17">
        <v>5</v>
      </c>
      <c r="I17" s="17">
        <v>5</v>
      </c>
      <c r="J17" s="17">
        <v>5</v>
      </c>
      <c r="K17" s="17">
        <v>5</v>
      </c>
      <c r="L17" s="17">
        <v>5</v>
      </c>
      <c r="M17" s="17">
        <v>5</v>
      </c>
      <c r="N17" s="17">
        <v>5</v>
      </c>
      <c r="O17" s="17">
        <v>5</v>
      </c>
      <c r="P17" s="17">
        <v>5</v>
      </c>
      <c r="Q17" s="17"/>
      <c r="R17" s="17">
        <v>5</v>
      </c>
      <c r="S17" s="17">
        <v>4</v>
      </c>
      <c r="T17" s="17">
        <v>5</v>
      </c>
      <c r="U17" s="17">
        <v>5</v>
      </c>
      <c r="V17" s="17">
        <v>5</v>
      </c>
      <c r="W17" s="17">
        <v>5</v>
      </c>
      <c r="X17" s="17">
        <v>5</v>
      </c>
      <c r="Y17" s="17">
        <v>5</v>
      </c>
      <c r="Z17" s="17">
        <v>5</v>
      </c>
      <c r="AA17" s="17">
        <v>5</v>
      </c>
      <c r="AB17" s="17">
        <v>4</v>
      </c>
      <c r="AC17" s="17">
        <v>5</v>
      </c>
      <c r="AD17" s="17">
        <v>5</v>
      </c>
      <c r="AE17" s="17">
        <v>5</v>
      </c>
      <c r="AF17" s="17">
        <v>4</v>
      </c>
      <c r="AG17" s="17">
        <v>5</v>
      </c>
      <c r="AH17" s="17">
        <v>5</v>
      </c>
      <c r="AI17" s="17">
        <v>5</v>
      </c>
      <c r="AJ17" s="17">
        <v>4</v>
      </c>
      <c r="AK17" s="17">
        <v>4</v>
      </c>
      <c r="AL17" s="17">
        <v>5</v>
      </c>
      <c r="AM17" s="17"/>
      <c r="AN17" s="17"/>
      <c r="AO17" s="17">
        <v>5</v>
      </c>
      <c r="AP17" s="17">
        <v>4</v>
      </c>
      <c r="AQ17" s="17">
        <v>4</v>
      </c>
      <c r="AR17" s="17">
        <v>4</v>
      </c>
      <c r="AS17" s="17">
        <v>5</v>
      </c>
      <c r="AT17" s="17">
        <v>4</v>
      </c>
      <c r="AU17" s="17">
        <v>4</v>
      </c>
      <c r="AV17" s="17">
        <v>4</v>
      </c>
      <c r="AW17" s="17">
        <v>4</v>
      </c>
      <c r="AX17" s="17">
        <v>5</v>
      </c>
      <c r="AY17" s="17">
        <v>4</v>
      </c>
      <c r="AZ17" s="17">
        <v>5</v>
      </c>
      <c r="BA17" s="17">
        <v>5</v>
      </c>
      <c r="BB17" s="17">
        <v>5</v>
      </c>
      <c r="BC17" s="17">
        <v>5</v>
      </c>
      <c r="BD17" s="17">
        <v>5</v>
      </c>
      <c r="BE17" s="17">
        <v>5</v>
      </c>
      <c r="BF17" s="17">
        <v>5</v>
      </c>
      <c r="BG17" s="17">
        <v>5</v>
      </c>
      <c r="BH17" s="17">
        <v>5</v>
      </c>
      <c r="BI17" s="17">
        <v>5</v>
      </c>
      <c r="BJ17" s="17">
        <v>5</v>
      </c>
      <c r="BK17" s="17">
        <v>5</v>
      </c>
      <c r="BL17" s="17">
        <v>5</v>
      </c>
      <c r="BM17" s="17"/>
      <c r="BN17" s="17"/>
      <c r="BO17" s="18">
        <f t="shared" si="1"/>
        <v>0</v>
      </c>
      <c r="BP17" s="18">
        <f t="shared" si="2"/>
        <v>17</v>
      </c>
      <c r="BQ17" s="18">
        <f t="shared" si="3"/>
        <v>42</v>
      </c>
      <c r="BR17" s="19"/>
      <c r="BS17" s="19">
        <f t="shared" si="0"/>
        <v>0</v>
      </c>
      <c r="BT17" s="19"/>
      <c r="BU17" s="20">
        <f t="shared" si="4"/>
        <v>0</v>
      </c>
      <c r="BV17" s="20">
        <f t="shared" si="5"/>
        <v>0.28813559322033899</v>
      </c>
      <c r="BW17" s="20">
        <f t="shared" si="6"/>
        <v>0.71186440677966101</v>
      </c>
      <c r="BX17" s="20">
        <f t="shared" si="7"/>
        <v>1</v>
      </c>
      <c r="BY17" s="1"/>
      <c r="BZ17" s="1"/>
      <c r="CA17" s="1"/>
      <c r="CB17" s="1"/>
      <c r="CC17" s="1"/>
      <c r="CD17" s="1"/>
      <c r="CE17" s="1"/>
    </row>
    <row r="18" spans="1:83" ht="19.5" customHeight="1" thickBot="1" x14ac:dyDescent="0.3">
      <c r="A18" s="15">
        <f t="shared" si="8"/>
        <v>17</v>
      </c>
      <c r="B18" s="16" t="s">
        <v>72</v>
      </c>
      <c r="C18" s="17">
        <v>4</v>
      </c>
      <c r="D18" s="17">
        <v>5</v>
      </c>
      <c r="E18" s="17">
        <v>5</v>
      </c>
      <c r="F18" s="17">
        <v>5</v>
      </c>
      <c r="G18" s="17">
        <v>5</v>
      </c>
      <c r="H18" s="17">
        <v>5</v>
      </c>
      <c r="I18" s="17">
        <v>5</v>
      </c>
      <c r="J18" s="17">
        <v>4</v>
      </c>
      <c r="K18" s="17">
        <v>5</v>
      </c>
      <c r="L18" s="17">
        <v>5</v>
      </c>
      <c r="M18" s="17">
        <v>4</v>
      </c>
      <c r="N18" s="17">
        <v>5</v>
      </c>
      <c r="O18" s="17">
        <v>4</v>
      </c>
      <c r="P18" s="17">
        <v>4</v>
      </c>
      <c r="Q18" s="17"/>
      <c r="R18" s="17">
        <v>5</v>
      </c>
      <c r="S18" s="17">
        <v>5</v>
      </c>
      <c r="T18" s="17">
        <v>5</v>
      </c>
      <c r="U18" s="17">
        <v>5</v>
      </c>
      <c r="V18" s="17">
        <v>5</v>
      </c>
      <c r="W18" s="17">
        <v>5</v>
      </c>
      <c r="X18" s="17">
        <v>5</v>
      </c>
      <c r="Y18" s="17">
        <v>5</v>
      </c>
      <c r="Z18" s="17">
        <v>5</v>
      </c>
      <c r="AA18" s="17">
        <v>5</v>
      </c>
      <c r="AB18" s="17">
        <v>5</v>
      </c>
      <c r="AC18" s="17">
        <v>5</v>
      </c>
      <c r="AD18" s="17">
        <v>5</v>
      </c>
      <c r="AE18" s="17">
        <v>5</v>
      </c>
      <c r="AF18" s="17">
        <v>5</v>
      </c>
      <c r="AG18" s="17">
        <v>5</v>
      </c>
      <c r="AH18" s="17">
        <v>5</v>
      </c>
      <c r="AI18" s="17">
        <v>5</v>
      </c>
      <c r="AJ18" s="17">
        <v>5</v>
      </c>
      <c r="AK18" s="17">
        <v>5</v>
      </c>
      <c r="AL18" s="17">
        <v>5</v>
      </c>
      <c r="AM18" s="17"/>
      <c r="AN18" s="17"/>
      <c r="AO18" s="17">
        <v>5</v>
      </c>
      <c r="AP18" s="17">
        <v>4</v>
      </c>
      <c r="AQ18" s="17">
        <v>5</v>
      </c>
      <c r="AR18" s="17">
        <v>4</v>
      </c>
      <c r="AS18" s="17">
        <v>5</v>
      </c>
      <c r="AT18" s="17">
        <v>4</v>
      </c>
      <c r="AU18" s="17">
        <v>4</v>
      </c>
      <c r="AV18" s="17">
        <v>4</v>
      </c>
      <c r="AW18" s="17">
        <v>5</v>
      </c>
      <c r="AX18" s="17">
        <v>5</v>
      </c>
      <c r="AY18" s="17">
        <v>5</v>
      </c>
      <c r="AZ18" s="17">
        <v>5</v>
      </c>
      <c r="BA18" s="17">
        <v>5</v>
      </c>
      <c r="BB18" s="17">
        <v>5</v>
      </c>
      <c r="BC18" s="17">
        <v>4</v>
      </c>
      <c r="BD18" s="17">
        <v>4</v>
      </c>
      <c r="BE18" s="17">
        <v>5</v>
      </c>
      <c r="BF18" s="17">
        <v>5</v>
      </c>
      <c r="BG18" s="17">
        <v>5</v>
      </c>
      <c r="BH18" s="17">
        <v>5</v>
      </c>
      <c r="BI18" s="17">
        <v>4</v>
      </c>
      <c r="BJ18" s="17">
        <v>4</v>
      </c>
      <c r="BK18" s="17">
        <v>5</v>
      </c>
      <c r="BL18" s="17">
        <v>5</v>
      </c>
      <c r="BM18" s="17"/>
      <c r="BN18" s="17"/>
      <c r="BO18" s="18">
        <f t="shared" si="1"/>
        <v>0</v>
      </c>
      <c r="BP18" s="18">
        <f t="shared" si="2"/>
        <v>14</v>
      </c>
      <c r="BQ18" s="18">
        <f t="shared" si="3"/>
        <v>45</v>
      </c>
      <c r="BR18" s="19"/>
      <c r="BS18" s="19">
        <f t="shared" si="0"/>
        <v>0</v>
      </c>
      <c r="BT18" s="19"/>
      <c r="BU18" s="20">
        <f t="shared" si="4"/>
        <v>0</v>
      </c>
      <c r="BV18" s="20">
        <f t="shared" si="5"/>
        <v>0.23728813559322035</v>
      </c>
      <c r="BW18" s="20">
        <f t="shared" si="6"/>
        <v>0.76271186440677963</v>
      </c>
      <c r="BX18" s="20">
        <f t="shared" si="7"/>
        <v>1</v>
      </c>
      <c r="BY18" s="1"/>
      <c r="BZ18" s="1"/>
      <c r="CA18" s="1"/>
      <c r="CB18" s="1"/>
      <c r="CC18" s="1"/>
      <c r="CD18" s="1"/>
      <c r="CE18" s="1"/>
    </row>
    <row r="19" spans="1:83" ht="19.5" customHeight="1" thickBot="1" x14ac:dyDescent="0.3">
      <c r="A19" s="15">
        <f t="shared" si="8"/>
        <v>18</v>
      </c>
      <c r="B19" s="16" t="s">
        <v>73</v>
      </c>
      <c r="C19" s="17">
        <v>4</v>
      </c>
      <c r="D19" s="17">
        <v>5</v>
      </c>
      <c r="E19" s="17">
        <v>5</v>
      </c>
      <c r="F19" s="17">
        <v>4</v>
      </c>
      <c r="G19" s="17">
        <v>5</v>
      </c>
      <c r="H19" s="17">
        <v>5</v>
      </c>
      <c r="I19" s="17">
        <v>4</v>
      </c>
      <c r="J19" s="17">
        <v>5</v>
      </c>
      <c r="K19" s="17">
        <v>5</v>
      </c>
      <c r="L19" s="17">
        <v>5</v>
      </c>
      <c r="M19" s="17">
        <v>5</v>
      </c>
      <c r="N19" s="17">
        <v>5</v>
      </c>
      <c r="O19" s="17">
        <v>4</v>
      </c>
      <c r="P19" s="17">
        <v>4</v>
      </c>
      <c r="Q19" s="17"/>
      <c r="R19" s="17">
        <v>5</v>
      </c>
      <c r="S19" s="17">
        <v>5</v>
      </c>
      <c r="T19" s="17">
        <v>5</v>
      </c>
      <c r="U19" s="17">
        <v>5</v>
      </c>
      <c r="V19" s="17">
        <v>5</v>
      </c>
      <c r="W19" s="17">
        <v>5</v>
      </c>
      <c r="X19" s="17">
        <v>5</v>
      </c>
      <c r="Y19" s="17">
        <v>5</v>
      </c>
      <c r="Z19" s="17">
        <v>5</v>
      </c>
      <c r="AA19" s="17">
        <v>5</v>
      </c>
      <c r="AB19" s="17">
        <v>5</v>
      </c>
      <c r="AC19" s="17">
        <v>5</v>
      </c>
      <c r="AD19" s="17">
        <v>5</v>
      </c>
      <c r="AE19" s="17">
        <v>5</v>
      </c>
      <c r="AF19" s="17">
        <v>5</v>
      </c>
      <c r="AG19" s="17">
        <v>5</v>
      </c>
      <c r="AH19" s="17">
        <v>5</v>
      </c>
      <c r="AI19" s="17">
        <v>5</v>
      </c>
      <c r="AJ19" s="17">
        <v>4</v>
      </c>
      <c r="AK19" s="17">
        <v>5</v>
      </c>
      <c r="AL19" s="17">
        <v>5</v>
      </c>
      <c r="AM19" s="17"/>
      <c r="AN19" s="17"/>
      <c r="AO19" s="17">
        <v>5</v>
      </c>
      <c r="AP19" s="17">
        <v>4</v>
      </c>
      <c r="AQ19" s="17">
        <v>5</v>
      </c>
      <c r="AR19" s="17">
        <v>5</v>
      </c>
      <c r="AS19" s="17">
        <v>5</v>
      </c>
      <c r="AT19" s="17">
        <v>5</v>
      </c>
      <c r="AU19" s="17">
        <v>4</v>
      </c>
      <c r="AV19" s="17">
        <v>5</v>
      </c>
      <c r="AW19" s="17">
        <v>4</v>
      </c>
      <c r="AX19" s="17">
        <v>5</v>
      </c>
      <c r="AY19" s="17">
        <v>5</v>
      </c>
      <c r="AZ19" s="17">
        <v>5</v>
      </c>
      <c r="BA19" s="17">
        <v>5</v>
      </c>
      <c r="BB19" s="17">
        <v>5</v>
      </c>
      <c r="BC19" s="17">
        <v>4</v>
      </c>
      <c r="BD19" s="17">
        <v>5</v>
      </c>
      <c r="BE19" s="17">
        <v>5</v>
      </c>
      <c r="BF19" s="17">
        <v>5</v>
      </c>
      <c r="BG19" s="17">
        <v>5</v>
      </c>
      <c r="BH19" s="17">
        <v>5</v>
      </c>
      <c r="BI19" s="17">
        <v>4</v>
      </c>
      <c r="BJ19" s="17">
        <v>5</v>
      </c>
      <c r="BK19" s="17">
        <v>5</v>
      </c>
      <c r="BL19" s="17">
        <v>5</v>
      </c>
      <c r="BM19" s="17"/>
      <c r="BN19" s="17"/>
      <c r="BO19" s="18">
        <f t="shared" si="1"/>
        <v>0</v>
      </c>
      <c r="BP19" s="18">
        <f t="shared" si="2"/>
        <v>11</v>
      </c>
      <c r="BQ19" s="18">
        <f t="shared" si="3"/>
        <v>48</v>
      </c>
      <c r="BR19" s="19"/>
      <c r="BS19" s="19">
        <f t="shared" si="0"/>
        <v>0</v>
      </c>
      <c r="BT19" s="19"/>
      <c r="BU19" s="20">
        <f t="shared" si="4"/>
        <v>0</v>
      </c>
      <c r="BV19" s="20">
        <f t="shared" si="5"/>
        <v>0.1864406779661017</v>
      </c>
      <c r="BW19" s="20">
        <f t="shared" si="6"/>
        <v>0.81355932203389836</v>
      </c>
      <c r="BX19" s="20">
        <f t="shared" si="7"/>
        <v>1</v>
      </c>
      <c r="BY19" s="1"/>
      <c r="BZ19" s="1"/>
      <c r="CA19" s="1"/>
      <c r="CB19" s="1"/>
      <c r="CC19" s="1"/>
      <c r="CD19" s="1"/>
      <c r="CE19" s="1"/>
    </row>
    <row r="20" spans="1:83" ht="19.5" customHeight="1" thickBot="1" x14ac:dyDescent="0.3">
      <c r="A20" s="15">
        <f t="shared" si="8"/>
        <v>19</v>
      </c>
      <c r="B20" s="16" t="s">
        <v>74</v>
      </c>
      <c r="C20" s="17">
        <v>4</v>
      </c>
      <c r="D20" s="17">
        <v>4</v>
      </c>
      <c r="E20" s="17">
        <v>4</v>
      </c>
      <c r="F20" s="17">
        <v>5</v>
      </c>
      <c r="G20" s="17">
        <v>4</v>
      </c>
      <c r="H20" s="17">
        <v>4</v>
      </c>
      <c r="I20" s="17">
        <v>3</v>
      </c>
      <c r="J20" s="17">
        <v>4</v>
      </c>
      <c r="K20" s="17">
        <v>4</v>
      </c>
      <c r="L20" s="17">
        <v>4</v>
      </c>
      <c r="M20" s="17">
        <v>5</v>
      </c>
      <c r="N20" s="17">
        <v>4</v>
      </c>
      <c r="O20" s="17">
        <v>5</v>
      </c>
      <c r="P20" s="17">
        <v>4</v>
      </c>
      <c r="Q20" s="17"/>
      <c r="R20" s="17">
        <v>4</v>
      </c>
      <c r="S20" s="17">
        <v>3</v>
      </c>
      <c r="T20" s="17">
        <v>3</v>
      </c>
      <c r="U20" s="17">
        <v>4</v>
      </c>
      <c r="V20" s="17">
        <v>3</v>
      </c>
      <c r="W20" s="17">
        <v>3</v>
      </c>
      <c r="X20" s="17">
        <v>3</v>
      </c>
      <c r="Y20" s="17">
        <v>4</v>
      </c>
      <c r="Z20" s="17">
        <v>3</v>
      </c>
      <c r="AA20" s="17">
        <v>3</v>
      </c>
      <c r="AB20" s="17">
        <v>3</v>
      </c>
      <c r="AC20" s="17">
        <v>4</v>
      </c>
      <c r="AD20" s="17">
        <v>4</v>
      </c>
      <c r="AE20" s="17">
        <v>5</v>
      </c>
      <c r="AF20" s="17">
        <v>3</v>
      </c>
      <c r="AG20" s="17">
        <v>4</v>
      </c>
      <c r="AH20" s="17">
        <v>3</v>
      </c>
      <c r="AI20" s="17">
        <v>3</v>
      </c>
      <c r="AJ20" s="17">
        <v>4</v>
      </c>
      <c r="AK20" s="17">
        <v>3</v>
      </c>
      <c r="AL20" s="17">
        <v>3</v>
      </c>
      <c r="AM20" s="17"/>
      <c r="AN20" s="17"/>
      <c r="AO20" s="17">
        <v>3</v>
      </c>
      <c r="AP20" s="17">
        <v>3</v>
      </c>
      <c r="AQ20" s="17">
        <v>3</v>
      </c>
      <c r="AR20" s="17">
        <v>3</v>
      </c>
      <c r="AS20" s="17">
        <v>3</v>
      </c>
      <c r="AT20" s="17">
        <v>3</v>
      </c>
      <c r="AU20" s="17">
        <v>3</v>
      </c>
      <c r="AV20" s="17">
        <v>3</v>
      </c>
      <c r="AW20" s="17">
        <v>3</v>
      </c>
      <c r="AX20" s="17">
        <v>3</v>
      </c>
      <c r="AY20" s="17">
        <v>3</v>
      </c>
      <c r="AZ20" s="17">
        <v>3</v>
      </c>
      <c r="BA20" s="17">
        <v>4</v>
      </c>
      <c r="BB20" s="17">
        <v>4</v>
      </c>
      <c r="BC20" s="17">
        <v>4</v>
      </c>
      <c r="BD20" s="17">
        <v>3</v>
      </c>
      <c r="BE20" s="17">
        <v>3</v>
      </c>
      <c r="BF20" s="17">
        <v>3</v>
      </c>
      <c r="BG20" s="17">
        <v>3</v>
      </c>
      <c r="BH20" s="17">
        <v>3</v>
      </c>
      <c r="BI20" s="17">
        <v>3</v>
      </c>
      <c r="BJ20" s="17">
        <v>3</v>
      </c>
      <c r="BK20" s="17">
        <v>4</v>
      </c>
      <c r="BL20" s="17">
        <v>3</v>
      </c>
      <c r="BM20" s="17"/>
      <c r="BN20" s="17"/>
      <c r="BO20" s="18">
        <f t="shared" si="1"/>
        <v>34</v>
      </c>
      <c r="BP20" s="18">
        <f t="shared" si="2"/>
        <v>21</v>
      </c>
      <c r="BQ20" s="18">
        <f t="shared" si="3"/>
        <v>4</v>
      </c>
      <c r="BR20" s="19"/>
      <c r="BS20" s="19">
        <f t="shared" si="0"/>
        <v>0</v>
      </c>
      <c r="BT20" s="19"/>
      <c r="BU20" s="20">
        <f t="shared" si="4"/>
        <v>0.57627118644067798</v>
      </c>
      <c r="BV20" s="20">
        <f t="shared" si="5"/>
        <v>0.3559322033898305</v>
      </c>
      <c r="BW20" s="20">
        <f t="shared" si="6"/>
        <v>6.7796610169491525E-2</v>
      </c>
      <c r="BX20" s="20">
        <f t="shared" si="7"/>
        <v>1</v>
      </c>
      <c r="BY20" s="1"/>
      <c r="BZ20" s="1"/>
      <c r="CA20" s="1"/>
      <c r="CB20" s="1"/>
      <c r="CC20" s="1"/>
      <c r="CD20" s="1"/>
      <c r="CE20" s="1"/>
    </row>
    <row r="21" spans="1:83" ht="19.5" customHeight="1" thickBot="1" x14ac:dyDescent="0.3">
      <c r="A21" s="15">
        <v>20</v>
      </c>
      <c r="B21" s="16" t="s">
        <v>75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>
        <v>4</v>
      </c>
      <c r="S21" s="17">
        <v>3</v>
      </c>
      <c r="T21" s="17">
        <v>4</v>
      </c>
      <c r="U21" s="17">
        <v>5</v>
      </c>
      <c r="V21" s="17">
        <v>5</v>
      </c>
      <c r="W21" s="17">
        <v>5</v>
      </c>
      <c r="X21" s="17">
        <v>5</v>
      </c>
      <c r="Y21" s="17">
        <v>5</v>
      </c>
      <c r="Z21" s="17">
        <v>5</v>
      </c>
      <c r="AA21" s="17">
        <v>5</v>
      </c>
      <c r="AB21" s="17">
        <v>5</v>
      </c>
      <c r="AC21" s="17">
        <v>5</v>
      </c>
      <c r="AD21" s="17">
        <v>5</v>
      </c>
      <c r="AE21" s="17">
        <v>5</v>
      </c>
      <c r="AF21" s="17">
        <v>4</v>
      </c>
      <c r="AG21" s="17">
        <v>5</v>
      </c>
      <c r="AH21" s="17">
        <v>5</v>
      </c>
      <c r="AI21" s="17">
        <v>4</v>
      </c>
      <c r="AJ21" s="17">
        <v>5</v>
      </c>
      <c r="AK21" s="17">
        <v>5</v>
      </c>
      <c r="AL21" s="17">
        <v>4</v>
      </c>
      <c r="AM21" s="17"/>
      <c r="AN21" s="17"/>
      <c r="AO21" s="17">
        <v>5</v>
      </c>
      <c r="AP21" s="17">
        <v>4</v>
      </c>
      <c r="AQ21" s="17">
        <v>5</v>
      </c>
      <c r="AR21" s="17">
        <v>5</v>
      </c>
      <c r="AS21" s="17">
        <v>4</v>
      </c>
      <c r="AT21" s="17">
        <v>4</v>
      </c>
      <c r="AU21" s="17">
        <v>4</v>
      </c>
      <c r="AV21" s="17">
        <v>5</v>
      </c>
      <c r="AW21" s="17">
        <v>4</v>
      </c>
      <c r="AX21" s="17">
        <v>5</v>
      </c>
      <c r="AY21" s="17">
        <v>5</v>
      </c>
      <c r="AZ21" s="17">
        <v>5</v>
      </c>
      <c r="BA21" s="17">
        <v>5</v>
      </c>
      <c r="BB21" s="17">
        <v>5</v>
      </c>
      <c r="BC21" s="17">
        <v>4</v>
      </c>
      <c r="BD21" s="17">
        <v>5</v>
      </c>
      <c r="BE21" s="17">
        <v>5</v>
      </c>
      <c r="BF21" s="17">
        <v>5</v>
      </c>
      <c r="BG21" s="17">
        <v>4</v>
      </c>
      <c r="BH21" s="17">
        <v>5</v>
      </c>
      <c r="BI21" s="17">
        <v>5</v>
      </c>
      <c r="BJ21" s="17">
        <v>4</v>
      </c>
      <c r="BK21" s="17">
        <v>5</v>
      </c>
      <c r="BL21" s="17">
        <v>4</v>
      </c>
      <c r="BM21" s="17"/>
      <c r="BN21" s="17"/>
      <c r="BO21" s="18">
        <f t="shared" ref="BO21" si="9">COUNTIF(C21:BN21, "3")</f>
        <v>1</v>
      </c>
      <c r="BP21" s="18">
        <f t="shared" ref="BP21" si="10">COUNTIF(D21:BO21, "4")</f>
        <v>14</v>
      </c>
      <c r="BQ21" s="18">
        <f t="shared" ref="BQ21" si="11">COUNTIF(E21:BP21, "5")</f>
        <v>30</v>
      </c>
      <c r="BR21" s="19"/>
      <c r="BS21" s="19">
        <f t="shared" si="0"/>
        <v>0</v>
      </c>
      <c r="BT21" s="19"/>
      <c r="BU21" s="20">
        <f>BO21/45</f>
        <v>2.2222222222222223E-2</v>
      </c>
      <c r="BV21" s="20">
        <f>BP21/45</f>
        <v>0.31111111111111112</v>
      </c>
      <c r="BW21" s="20">
        <f>BQ21/45</f>
        <v>0.66666666666666663</v>
      </c>
      <c r="BX21" s="20">
        <f t="shared" si="7"/>
        <v>1</v>
      </c>
      <c r="BY21" s="1"/>
      <c r="BZ21" s="1"/>
      <c r="CA21" s="1"/>
      <c r="CB21" s="1"/>
      <c r="CC21" s="1"/>
      <c r="CD21" s="1"/>
      <c r="CE21" s="1"/>
    </row>
    <row r="22" spans="1:83" ht="117.75" customHeight="1" thickBot="1" x14ac:dyDescent="0.3"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6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6"/>
      <c r="BF22" s="4"/>
      <c r="BG22" s="4"/>
      <c r="BH22" s="4"/>
      <c r="BI22" s="4"/>
      <c r="BJ22" s="4"/>
      <c r="BK22" s="4"/>
      <c r="BL22" s="17"/>
      <c r="BM22" s="4"/>
      <c r="BN22" s="4"/>
    </row>
  </sheetData>
  <autoFilter ref="B1:B22"/>
  <conditionalFormatting sqref="AD3:AE3 AD6:AE6 Q2:R14 Q16 T2:T14 AS2:AS14 W7:AE14 W4:AE5 W2:AE2 Q17:R21 S16:T21 C16:P21 W16:AE21 AG2:AG14 AG16:AG21 AI7:AJ14 AI4:AJ5 AI2:AJ2 AI16:AJ21 AL2:AN14 AL16:AP21 BG2:BI14 BK2:BK14 AX2:BE14 AX16:BI20 AX21:BK21 AS16:AS21 BK16:BK20 BM2:BN14 BM16:BN21">
    <cfRule type="containsText" dxfId="80" priority="252" operator="containsText" text="2">
      <formula>NOT(ISERROR(SEARCH("2",C2)))</formula>
    </cfRule>
    <cfRule type="containsText" dxfId="79" priority="253" operator="containsText" text="н/я">
      <formula>NOT(ISERROR(SEARCH("н/я",C2)))</formula>
    </cfRule>
    <cfRule type="containsText" dxfId="78" priority="254" operator="containsText" text="н/а">
      <formula>NOT(ISERROR(SEARCH("н/а",C2)))</formula>
    </cfRule>
  </conditionalFormatting>
  <conditionalFormatting sqref="R16">
    <cfRule type="containsText" dxfId="77" priority="219" operator="containsText" text="2">
      <formula>NOT(ISERROR(SEARCH("2",R16)))</formula>
    </cfRule>
    <cfRule type="containsText" dxfId="76" priority="220" operator="containsText" text="н/я">
      <formula>NOT(ISERROR(SEARCH("н/я",R16)))</formula>
    </cfRule>
    <cfRule type="containsText" dxfId="75" priority="221" operator="containsText" text="н/а">
      <formula>NOT(ISERROR(SEARCH("н/а",R16)))</formula>
    </cfRule>
  </conditionalFormatting>
  <conditionalFormatting sqref="W3:Z3">
    <cfRule type="containsText" dxfId="74" priority="204" operator="containsText" text="2">
      <formula>NOT(ISERROR(SEARCH("2",W3)))</formula>
    </cfRule>
    <cfRule type="containsText" dxfId="73" priority="205" operator="containsText" text="н/а">
      <formula>NOT(ISERROR(SEARCH("н/а",W3)))</formula>
    </cfRule>
    <cfRule type="containsText" dxfId="72" priority="206" operator="containsText" text="н/я">
      <formula>NOT(ISERROR(SEARCH("н/я",W3)))</formula>
    </cfRule>
  </conditionalFormatting>
  <conditionalFormatting sqref="AA3:AC3">
    <cfRule type="containsText" dxfId="71" priority="201" operator="containsText" text="2">
      <formula>NOT(ISERROR(SEARCH("2",AA3)))</formula>
    </cfRule>
    <cfRule type="containsText" dxfId="70" priority="202" operator="containsText" text="н/а">
      <formula>NOT(ISERROR(SEARCH("н/а",AA3)))</formula>
    </cfRule>
    <cfRule type="containsText" dxfId="69" priority="203" operator="containsText" text="н/я">
      <formula>NOT(ISERROR(SEARCH("н/я",AA3)))</formula>
    </cfRule>
  </conditionalFormatting>
  <conditionalFormatting sqref="AI3:AJ3">
    <cfRule type="containsText" dxfId="68" priority="195" operator="containsText" text="2">
      <formula>NOT(ISERROR(SEARCH("2",AI3)))</formula>
    </cfRule>
    <cfRule type="containsText" dxfId="67" priority="196" operator="containsText" text="н/а">
      <formula>NOT(ISERROR(SEARCH("н/а",AI3)))</formula>
    </cfRule>
    <cfRule type="containsText" dxfId="66" priority="197" operator="containsText" text="н/я">
      <formula>NOT(ISERROR(SEARCH("н/я",AI3)))</formula>
    </cfRule>
  </conditionalFormatting>
  <conditionalFormatting sqref="AI6:AJ6">
    <cfRule type="containsText" dxfId="65" priority="174" operator="containsText" text="2">
      <formula>NOT(ISERROR(SEARCH("2",AI6)))</formula>
    </cfRule>
    <cfRule type="containsText" dxfId="64" priority="175" operator="containsText" text="н/а">
      <formula>NOT(ISERROR(SEARCH("н/а",AI6)))</formula>
    </cfRule>
    <cfRule type="containsText" dxfId="63" priority="176" operator="containsText" text="н/я">
      <formula>NOT(ISERROR(SEARCH("н/я",AI6)))</formula>
    </cfRule>
  </conditionalFormatting>
  <conditionalFormatting sqref="W6:AC6">
    <cfRule type="containsText" dxfId="62" priority="180" operator="containsText" text="2">
      <formula>NOT(ISERROR(SEARCH("2",W6)))</formula>
    </cfRule>
    <cfRule type="containsText" dxfId="61" priority="181" operator="containsText" text="н/а">
      <formula>NOT(ISERROR(SEARCH("н/а",W6)))</formula>
    </cfRule>
    <cfRule type="containsText" dxfId="60" priority="182" operator="containsText" text="н/я">
      <formula>NOT(ISERROR(SEARCH("н/я",W6)))</formula>
    </cfRule>
  </conditionalFormatting>
  <conditionalFormatting sqref="S2:S14">
    <cfRule type="containsText" dxfId="59" priority="153" operator="containsText" text="2">
      <formula>NOT(ISERROR(SEARCH("2",S2)))</formula>
    </cfRule>
    <cfRule type="containsText" dxfId="58" priority="154" operator="containsText" text="н/я">
      <formula>NOT(ISERROR(SEARCH("н/я",S2)))</formula>
    </cfRule>
    <cfRule type="containsText" dxfId="57" priority="155" operator="containsText" text="н/а">
      <formula>NOT(ISERROR(SEARCH("н/а",S2)))</formula>
    </cfRule>
  </conditionalFormatting>
  <conditionalFormatting sqref="AP2:AP14">
    <cfRule type="containsText" dxfId="56" priority="150" operator="containsText" text="2">
      <formula>NOT(ISERROR(SEARCH("2",AP2)))</formula>
    </cfRule>
    <cfRule type="containsText" dxfId="55" priority="151" operator="containsText" text="н/я">
      <formula>NOT(ISERROR(SEARCH("н/я",AP2)))</formula>
    </cfRule>
    <cfRule type="containsText" dxfId="54" priority="152" operator="containsText" text="н/а">
      <formula>NOT(ISERROR(SEARCH("н/а",AP2)))</formula>
    </cfRule>
  </conditionalFormatting>
  <conditionalFormatting sqref="C2:P14">
    <cfRule type="containsText" dxfId="53" priority="156" operator="containsText" text="2">
      <formula>NOT(ISERROR(SEARCH("2",C2)))</formula>
    </cfRule>
    <cfRule type="containsText" dxfId="52" priority="157" operator="containsText" text="н/я">
      <formula>NOT(ISERROR(SEARCH("н/я",C2)))</formula>
    </cfRule>
    <cfRule type="containsText" dxfId="51" priority="158" operator="containsText" text="н/а">
      <formula>NOT(ISERROR(SEARCH("н/а",C2)))</formula>
    </cfRule>
  </conditionalFormatting>
  <conditionalFormatting sqref="AO2:AO14">
    <cfRule type="containsText" dxfId="50" priority="147" operator="containsText" text="2">
      <formula>NOT(ISERROR(SEARCH("2",AO2)))</formula>
    </cfRule>
    <cfRule type="containsText" dxfId="49" priority="148" operator="containsText" text="н/я">
      <formula>NOT(ISERROR(SEARCH("н/я",AO2)))</formula>
    </cfRule>
    <cfRule type="containsText" dxfId="48" priority="149" operator="containsText" text="н/а">
      <formula>NOT(ISERROR(SEARCH("н/а",AO2)))</formula>
    </cfRule>
  </conditionalFormatting>
  <conditionalFormatting sqref="BF2:BF14">
    <cfRule type="containsText" dxfId="47" priority="144" operator="containsText" text="2">
      <formula>NOT(ISERROR(SEARCH("2",BF2)))</formula>
    </cfRule>
    <cfRule type="containsText" dxfId="46" priority="145" operator="containsText" text="н/я">
      <formula>NOT(ISERROR(SEARCH("н/я",BF2)))</formula>
    </cfRule>
    <cfRule type="containsText" dxfId="45" priority="146" operator="containsText" text="н/а">
      <formula>NOT(ISERROR(SEARCH("н/а",BF2)))</formula>
    </cfRule>
  </conditionalFormatting>
  <conditionalFormatting sqref="U2:U21">
    <cfRule type="containsText" dxfId="44" priority="129" operator="containsText" text="2">
      <formula>NOT(ISERROR(SEARCH("2",U2)))</formula>
    </cfRule>
    <cfRule type="containsText" dxfId="43" priority="130" operator="containsText" text="н/я">
      <formula>NOT(ISERROR(SEARCH("н/я",U2)))</formula>
    </cfRule>
    <cfRule type="containsText" dxfId="42" priority="131" operator="containsText" text="н/а">
      <formula>NOT(ISERROR(SEARCH("н/а",U2)))</formula>
    </cfRule>
  </conditionalFormatting>
  <conditionalFormatting sqref="V2:V21">
    <cfRule type="containsText" dxfId="41" priority="126" operator="containsText" text="2">
      <formula>NOT(ISERROR(SEARCH("2",V2)))</formula>
    </cfRule>
    <cfRule type="containsText" dxfId="40" priority="127" operator="containsText" text="н/я">
      <formula>NOT(ISERROR(SEARCH("н/я",V2)))</formula>
    </cfRule>
    <cfRule type="containsText" dxfId="39" priority="128" operator="containsText" text="н/а">
      <formula>NOT(ISERROR(SEARCH("н/а",V2)))</formula>
    </cfRule>
  </conditionalFormatting>
  <conditionalFormatting sqref="AF7:AF14 AF4:AF5 AF21 AF2 AF16:AF19">
    <cfRule type="containsText" dxfId="38" priority="119" operator="containsText" text="2">
      <formula>NOT(ISERROR(SEARCH("2",AF2)))</formula>
    </cfRule>
    <cfRule type="containsText" dxfId="37" priority="120" operator="containsText" text="н/я">
      <formula>NOT(ISERROR(SEARCH("н/я",AF2)))</formula>
    </cfRule>
    <cfRule type="containsText" dxfId="36" priority="121" operator="containsText" text="н/а">
      <formula>NOT(ISERROR(SEARCH("н/а",AF2)))</formula>
    </cfRule>
  </conditionalFormatting>
  <conditionalFormatting sqref="AF3 AF20">
    <cfRule type="containsText" dxfId="35" priority="116" operator="containsText" text="2">
      <formula>NOT(ISERROR(SEARCH("2",AF3)))</formula>
    </cfRule>
    <cfRule type="containsText" dxfId="34" priority="117" operator="containsText" text="н/а">
      <formula>NOT(ISERROR(SEARCH("н/а",AF3)))</formula>
    </cfRule>
    <cfRule type="containsText" dxfId="33" priority="118" operator="containsText" text="н/я">
      <formula>NOT(ISERROR(SEARCH("н/я",AF3)))</formula>
    </cfRule>
  </conditionalFormatting>
  <conditionalFormatting sqref="AF6">
    <cfRule type="containsText" dxfId="32" priority="113" operator="containsText" text="2">
      <formula>NOT(ISERROR(SEARCH("2",AF6)))</formula>
    </cfRule>
    <cfRule type="containsText" dxfId="31" priority="114" operator="containsText" text="н/а">
      <formula>NOT(ISERROR(SEARCH("н/а",AF6)))</formula>
    </cfRule>
    <cfRule type="containsText" dxfId="30" priority="115" operator="containsText" text="н/я">
      <formula>NOT(ISERROR(SEARCH("н/я",AF6)))</formula>
    </cfRule>
  </conditionalFormatting>
  <conditionalFormatting sqref="AH2:AH21">
    <cfRule type="containsText" dxfId="29" priority="103" operator="containsText" text="2">
      <formula>NOT(ISERROR(SEARCH("2",AH2)))</formula>
    </cfRule>
    <cfRule type="containsText" dxfId="28" priority="104" operator="containsText" text="н/я">
      <formula>NOT(ISERROR(SEARCH("н/я",AH2)))</formula>
    </cfRule>
    <cfRule type="containsText" dxfId="27" priority="105" operator="containsText" text="н/а">
      <formula>NOT(ISERROR(SEARCH("н/а",AH2)))</formula>
    </cfRule>
  </conditionalFormatting>
  <conditionalFormatting sqref="AK7:AK14 AK4:AK5 AK19:AK20 AK2 AK16:AK17">
    <cfRule type="containsText" dxfId="26" priority="96" operator="containsText" text="2">
      <formula>NOT(ISERROR(SEARCH("2",AK2)))</formula>
    </cfRule>
    <cfRule type="containsText" dxfId="25" priority="97" operator="containsText" text="н/я">
      <formula>NOT(ISERROR(SEARCH("н/я",AK2)))</formula>
    </cfRule>
    <cfRule type="containsText" dxfId="24" priority="98" operator="containsText" text="н/а">
      <formula>NOT(ISERROR(SEARCH("н/а",AK2)))</formula>
    </cfRule>
  </conditionalFormatting>
  <conditionalFormatting sqref="AK3 AK18">
    <cfRule type="containsText" dxfId="23" priority="93" operator="containsText" text="2">
      <formula>NOT(ISERROR(SEARCH("2",AK3)))</formula>
    </cfRule>
    <cfRule type="containsText" dxfId="22" priority="94" operator="containsText" text="н/а">
      <formula>NOT(ISERROR(SEARCH("н/а",AK3)))</formula>
    </cfRule>
    <cfRule type="containsText" dxfId="21" priority="95" operator="containsText" text="н/я">
      <formula>NOT(ISERROR(SEARCH("н/я",AK3)))</formula>
    </cfRule>
  </conditionalFormatting>
  <conditionalFormatting sqref="AK6 AK21">
    <cfRule type="containsText" dxfId="20" priority="90" operator="containsText" text="2">
      <formula>NOT(ISERROR(SEARCH("2",AK6)))</formula>
    </cfRule>
    <cfRule type="containsText" dxfId="19" priority="91" operator="containsText" text="н/а">
      <formula>NOT(ISERROR(SEARCH("н/а",AK6)))</formula>
    </cfRule>
    <cfRule type="containsText" dxfId="18" priority="92" operator="containsText" text="н/я">
      <formula>NOT(ISERROR(SEARCH("н/я",AK6)))</formula>
    </cfRule>
  </conditionalFormatting>
  <conditionalFormatting sqref="AQ16:AR21">
    <cfRule type="containsText" dxfId="17" priority="76" operator="containsText" text="2">
      <formula>NOT(ISERROR(SEARCH("2",AQ16)))</formula>
    </cfRule>
    <cfRule type="containsText" dxfId="16" priority="77" operator="containsText" text="н/я">
      <formula>NOT(ISERROR(SEARCH("н/я",AQ16)))</formula>
    </cfRule>
    <cfRule type="containsText" dxfId="15" priority="78" operator="containsText" text="н/а">
      <formula>NOT(ISERROR(SEARCH("н/а",AQ16)))</formula>
    </cfRule>
  </conditionalFormatting>
  <conditionalFormatting sqref="AQ2:AR14">
    <cfRule type="containsText" dxfId="14" priority="73" operator="containsText" text="2">
      <formula>NOT(ISERROR(SEARCH("2",AQ2)))</formula>
    </cfRule>
    <cfRule type="containsText" dxfId="13" priority="74" operator="containsText" text="н/я">
      <formula>NOT(ISERROR(SEARCH("н/я",AQ2)))</formula>
    </cfRule>
    <cfRule type="containsText" dxfId="12" priority="75" operator="containsText" text="н/а">
      <formula>NOT(ISERROR(SEARCH("н/а",AQ2)))</formula>
    </cfRule>
  </conditionalFormatting>
  <conditionalFormatting sqref="BJ2:BJ20">
    <cfRule type="containsText" dxfId="11" priority="66" operator="containsText" text="2">
      <formula>NOT(ISERROR(SEARCH("2",BJ2)))</formula>
    </cfRule>
    <cfRule type="containsText" dxfId="10" priority="67" operator="containsText" text="н/я">
      <formula>NOT(ISERROR(SEARCH("н/я",BJ2)))</formula>
    </cfRule>
    <cfRule type="containsText" dxfId="9" priority="68" operator="containsText" text="н/а">
      <formula>NOT(ISERROR(SEARCH("н/а",BJ2)))</formula>
    </cfRule>
  </conditionalFormatting>
  <conditionalFormatting sqref="AU2:AW14 AU16:AW21">
    <cfRule type="containsText" dxfId="8" priority="35" operator="containsText" text="2">
      <formula>NOT(ISERROR(SEARCH("2",AU2)))</formula>
    </cfRule>
    <cfRule type="containsText" dxfId="7" priority="36" operator="containsText" text="н/я">
      <formula>NOT(ISERROR(SEARCH("н/я",AU2)))</formula>
    </cfRule>
    <cfRule type="containsText" dxfId="6" priority="37" operator="containsText" text="н/а">
      <formula>NOT(ISERROR(SEARCH("н/а",AU2)))</formula>
    </cfRule>
  </conditionalFormatting>
  <conditionalFormatting sqref="AT2:AT21">
    <cfRule type="containsText" dxfId="5" priority="24" operator="containsText" text="2">
      <formula>NOT(ISERROR(SEARCH("2",AT2)))</formula>
    </cfRule>
    <cfRule type="containsText" dxfId="4" priority="25" operator="containsText" text="н/я">
      <formula>NOT(ISERROR(SEARCH("н/я",AT2)))</formula>
    </cfRule>
    <cfRule type="containsText" dxfId="3" priority="26" operator="containsText" text="н/а">
      <formula>NOT(ISERROR(SEARCH("н/а",AT2)))</formula>
    </cfRule>
  </conditionalFormatting>
  <conditionalFormatting sqref="BL2:BL22">
    <cfRule type="containsText" dxfId="2" priority="1" operator="containsText" text="2">
      <formula>NOT(ISERROR(SEARCH("2",BL2)))</formula>
    </cfRule>
    <cfRule type="containsText" dxfId="1" priority="2" operator="containsText" text="н/я">
      <formula>NOT(ISERROR(SEARCH("н/я",BL2)))</formula>
    </cfRule>
    <cfRule type="containsText" dxfId="0" priority="3" operator="containsText" text="н/а">
      <formula>NOT(ISERROR(SEARCH("н/а",BL2)))</formula>
    </cfRule>
  </conditionalFormatting>
  <pageMargins left="0.23622047244094491" right="0.39370078740157483" top="0.23622047244094491" bottom="0.23622047244094491" header="0.31496062992125984" footer="0.31496062992125984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Витрив Мария Ивановна</dc:creator>
  <cp:lastModifiedBy>Сынкова Алина Денисовна</cp:lastModifiedBy>
  <cp:lastPrinted>2024-02-19T09:01:16Z</cp:lastPrinted>
  <dcterms:created xsi:type="dcterms:W3CDTF">2021-02-09T10:42:01Z</dcterms:created>
  <dcterms:modified xsi:type="dcterms:W3CDTF">2024-06-22T06:27:26Z</dcterms:modified>
</cp:coreProperties>
</file>